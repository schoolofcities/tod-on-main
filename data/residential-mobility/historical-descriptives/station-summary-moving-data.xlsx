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<sst xmlns="http://schemas.openxmlformats.org/spreadsheetml/2006/main" count="157" uniqueCount="31">
  <si>
    <t xml:space="preserve">station_fid</t>
  </si>
  <si>
    <t xml:space="preserve">n_movers_in</t>
  </si>
  <si>
    <t xml:space="preserve">n_movers_in_Lowincome</t>
  </si>
  <si>
    <t xml:space="preserve">movers_in_fam_med_income</t>
  </si>
  <si>
    <t xml:space="preserve">movers_in_i_med_income</t>
  </si>
  <si>
    <t xml:space="preserve">n_movers_out</t>
  </si>
  <si>
    <t xml:space="preserve">n_movers_out_Lowincome</t>
  </si>
  <si>
    <t xml:space="preserve">movers_out_fam_med_income</t>
  </si>
  <si>
    <t xml:space="preserve">movers_out_i_med_income</t>
  </si>
  <si>
    <t xml:space="preserve">n_stayers</t>
  </si>
  <si>
    <t xml:space="preserve">n_stayers_Lowincome</t>
  </si>
  <si>
    <t xml:space="preserve">stayers_fam_med_income</t>
  </si>
  <si>
    <t xml:space="preserve">stayers_i_med_income</t>
  </si>
  <si>
    <t xml:space="preserve">cma_total_stayer_individuals</t>
  </si>
  <si>
    <t xml:space="preserve">cma_total_stayer_lowincome</t>
  </si>
  <si>
    <t xml:space="preserve">cma_total_internal_mover_individuals</t>
  </si>
  <si>
    <t xml:space="preserve">cma_total_internal_mover_lowincome</t>
  </si>
  <si>
    <t xml:space="preserve">cma_total_mover_in_individuals</t>
  </si>
  <si>
    <t xml:space="preserve">cma_total_mover_in_lowincome</t>
  </si>
  <si>
    <t xml:space="preserve">cma_total_mover_out_individuals</t>
  </si>
  <si>
    <t xml:space="preserve">cma_total_mover_out_lowincome</t>
  </si>
  <si>
    <t xml:space="preserve">% of IN movers that are low income – station areas</t>
  </si>
  <si>
    <t xml:space="preserve">% of IN movers that are low income – CMA total</t>
  </si>
  <si>
    <t xml:space="preserve">Positive/good</t>
  </si>
  <si>
    <t xml:space="preserve">% of low income residents that move out – station areas</t>
  </si>
  <si>
    <t xml:space="preserve">% of low income residents that move out – CMA total</t>
  </si>
  <si>
    <t xml:space="preserve">% of OUT movers that are low income – station areas</t>
  </si>
  <si>
    <t xml:space="preserve">% of OUT movers that are low income – CMA total</t>
  </si>
  <si>
    <t xml:space="preserve">% of STAYERS movers that are low income – station areas</t>
  </si>
  <si>
    <t xml:space="preserve">% of STAYERS that are low income – CMA total</t>
  </si>
  <si>
    <t xml:space="preserve">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</si>
</sst>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8"/>
  <sheetViews>
    <sheetView showFormulas="false" showGridLines="true" showRowColHeaders="true" showZeros="true" rightToLeft="false" tabSelected="true" showOutlineSymbols="true" defaultGridColor="true" view="normal" topLeftCell="P73" colorId="64" zoomScale="120" zoomScaleNormal="120" zoomScalePageLayoutView="100" workbookViewId="0">
      <selection pane="topLeft" activeCell="AB76" activeCellId="0" sqref="AB76"/>
    </sheetView>
  </sheetViews>
  <sheetFormatPr defaultColWidth="11.53515625" defaultRowHeight="12.8" zeroHeight="false" outlineLevelRow="0" outlineLevelCol="0"/>
  <sheetData>
    <row r="1" s="1" customFormat="true" ht="68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s="1" t="s">
        <v>21</v>
      </c>
      <c r="X1" s="1" t="s">
        <v>22</v>
      </c>
      <c r="Y1" s="1" t="s">
        <v>23</v>
      </c>
      <c r="Z1" s="0"/>
      <c r="AA1" s="1" t="s">
        <v>24</v>
      </c>
      <c r="AB1" s="1" t="s">
        <v>25</v>
      </c>
      <c r="AC1" s="1" t="s">
        <v>23</v>
      </c>
      <c r="AE1" s="1" t="s">
        <v>26</v>
      </c>
      <c r="AF1" s="1" t="s">
        <v>27</v>
      </c>
      <c r="AG1" s="1" t="s">
        <v>23</v>
      </c>
      <c r="AH1" s="0"/>
      <c r="AI1" s="1" t="s">
        <v>28</v>
      </c>
      <c r="AJ1" s="1" t="s">
        <v>29</v>
      </c>
      <c r="AK1" s="1" t="s">
        <v>23</v>
      </c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n">
        <v>11</v>
      </c>
      <c r="B2" s="0" t="n">
        <v>6935</v>
      </c>
      <c r="C2" s="0" t="n">
        <v>1350</v>
      </c>
      <c r="D2" s="0" t="n">
        <v>72700</v>
      </c>
      <c r="E2" s="0" t="n">
        <v>32100</v>
      </c>
      <c r="F2" s="0" t="n">
        <v>5275</v>
      </c>
      <c r="G2" s="0" t="n">
        <v>1080</v>
      </c>
      <c r="H2" s="0" t="n">
        <v>68000</v>
      </c>
      <c r="I2" s="0" t="n">
        <v>32600</v>
      </c>
      <c r="J2" s="0" t="n">
        <v>9875</v>
      </c>
      <c r="K2" s="0" t="n">
        <v>1150</v>
      </c>
      <c r="L2" s="0" t="n">
        <v>107600</v>
      </c>
      <c r="M2" s="0" t="n">
        <v>37900</v>
      </c>
      <c r="N2" s="0" t="n">
        <v>19383275</v>
      </c>
      <c r="O2" s="0" t="n">
        <v>2021340</v>
      </c>
      <c r="P2" s="0" t="n">
        <v>97455375</v>
      </c>
      <c r="Q2" s="0" t="n">
        <v>9649490</v>
      </c>
      <c r="R2" s="0" t="n">
        <v>2818225</v>
      </c>
      <c r="S2" s="0" t="n">
        <v>807700</v>
      </c>
      <c r="T2" s="0" t="n">
        <v>1784330</v>
      </c>
      <c r="U2" s="0" t="n">
        <v>402850</v>
      </c>
      <c r="W2" s="0" t="n">
        <f aca="false">C2/B2</f>
        <v>0.194664744051911</v>
      </c>
      <c r="X2" s="0" t="n">
        <f aca="false">S2/R2</f>
        <v>0.286598834372699</v>
      </c>
      <c r="Y2" s="2" t="b">
        <f aca="false">IF(W2&gt;X2,TRUE())</f>
        <v>0</v>
      </c>
      <c r="AA2" s="2" t="n">
        <f aca="false">G2/(G2+K2)</f>
        <v>0.484304932735426</v>
      </c>
      <c r="AB2" s="0" t="n">
        <f aca="false">U2/(U2+O2/10)</f>
        <v>0.665885378786877</v>
      </c>
      <c r="AC2" s="2" t="b">
        <f aca="false">IF(AA2&lt;AB2,TRUE())</f>
        <v>1</v>
      </c>
      <c r="AE2" s="0" t="n">
        <f aca="false">G2/F2</f>
        <v>0.204739336492891</v>
      </c>
      <c r="AF2" s="0" t="n">
        <f aca="false">U2/T2</f>
        <v>0.225771017692916</v>
      </c>
      <c r="AG2" s="2" t="b">
        <f aca="false">IF(AE2&lt;AF2,TRUE())</f>
        <v>1</v>
      </c>
      <c r="AI2" s="0" t="n">
        <f aca="false">K2/J2</f>
        <v>0.116455696202532</v>
      </c>
      <c r="AJ2" s="0" t="n">
        <f aca="false">Q2/P2</f>
        <v>0.0990144463555756</v>
      </c>
      <c r="AK2" s="2" t="b">
        <f aca="false">IF(AI2&gt;AJ2,TRUE())</f>
        <v>1</v>
      </c>
    </row>
    <row r="3" customFormat="false" ht="12.8" hidden="false" customHeight="false" outlineLevel="0" collapsed="false">
      <c r="A3" s="0" t="n">
        <v>14</v>
      </c>
      <c r="B3" s="0" t="n">
        <v>11590</v>
      </c>
      <c r="C3" s="0" t="n">
        <v>1495</v>
      </c>
      <c r="D3" s="0" t="n">
        <v>112200</v>
      </c>
      <c r="E3" s="0" t="n">
        <v>41800</v>
      </c>
      <c r="F3" s="0" t="n">
        <v>4950</v>
      </c>
      <c r="G3" s="0" t="n">
        <v>800</v>
      </c>
      <c r="H3" s="0" t="n">
        <v>99000</v>
      </c>
      <c r="I3" s="0" t="n">
        <v>33700</v>
      </c>
      <c r="J3" s="0" t="n">
        <v>10995</v>
      </c>
      <c r="K3" s="0" t="n">
        <v>1055</v>
      </c>
      <c r="L3" s="0" t="n">
        <v>131500</v>
      </c>
      <c r="M3" s="0" t="n">
        <v>39700</v>
      </c>
      <c r="N3" s="0" t="n">
        <v>19383275</v>
      </c>
      <c r="O3" s="0" t="n">
        <v>2021340</v>
      </c>
      <c r="P3" s="0" t="n">
        <v>97455375</v>
      </c>
      <c r="Q3" s="0" t="n">
        <v>9649490</v>
      </c>
      <c r="R3" s="0" t="n">
        <v>2818225</v>
      </c>
      <c r="S3" s="0" t="n">
        <v>807700</v>
      </c>
      <c r="T3" s="0" t="n">
        <v>1784330</v>
      </c>
      <c r="U3" s="0" t="n">
        <v>402850</v>
      </c>
      <c r="W3" s="0" t="n">
        <f aca="false">C3/B3</f>
        <v>0.128990509059534</v>
      </c>
      <c r="X3" s="0" t="n">
        <f aca="false">S3/R3</f>
        <v>0.286598834372699</v>
      </c>
      <c r="Y3" s="2" t="n">
        <f aca="false">IF(W3&gt;X3,TRUE())</f>
        <v>0</v>
      </c>
      <c r="AA3" s="2" t="n">
        <f aca="false">G3/(G3+K3)</f>
        <v>0.431266846361186</v>
      </c>
      <c r="AB3" s="0" t="n">
        <f aca="false">U3/(U3+O3/10)</f>
        <v>0.665885378786877</v>
      </c>
      <c r="AC3" s="2" t="n">
        <f aca="false">IF(AA3&lt;AB3,TRUE())</f>
        <v>1</v>
      </c>
      <c r="AE3" s="0" t="n">
        <f aca="false">G3/F3</f>
        <v>0.161616161616162</v>
      </c>
      <c r="AF3" s="0" t="n">
        <f aca="false">U3/T3</f>
        <v>0.225771017692916</v>
      </c>
      <c r="AG3" s="2" t="n">
        <f aca="false">IF(AE3&lt;AF3,TRUE())</f>
        <v>1</v>
      </c>
      <c r="AI3" s="0" t="n">
        <f aca="false">K3/J3</f>
        <v>0.0959527057753524</v>
      </c>
      <c r="AJ3" s="0" t="n">
        <f aca="false">Q3/P3</f>
        <v>0.0990144463555756</v>
      </c>
      <c r="AK3" s="2" t="n">
        <f aca="false">IF(AI3&gt;AJ3,TRUE())</f>
        <v>0</v>
      </c>
    </row>
    <row r="4" customFormat="false" ht="12.8" hidden="false" customHeight="false" outlineLevel="0" collapsed="false">
      <c r="A4" s="0" t="n">
        <v>21</v>
      </c>
      <c r="B4" s="0" t="n">
        <v>5475</v>
      </c>
      <c r="C4" s="0" t="n">
        <v>980</v>
      </c>
      <c r="D4" s="0" t="n">
        <v>50000</v>
      </c>
      <c r="E4" s="0" t="n">
        <v>21900</v>
      </c>
      <c r="F4" s="0" t="n">
        <v>5700</v>
      </c>
      <c r="G4" s="0" t="n">
        <v>895</v>
      </c>
      <c r="H4" s="0" t="n">
        <v>49500</v>
      </c>
      <c r="I4" s="0" t="n">
        <v>21300</v>
      </c>
      <c r="J4" s="0" t="n">
        <v>7640</v>
      </c>
      <c r="K4" s="0" t="n">
        <v>650</v>
      </c>
      <c r="L4" s="0" t="n">
        <v>80500</v>
      </c>
      <c r="M4" s="0" t="n">
        <v>25300</v>
      </c>
      <c r="N4" s="0" t="n">
        <v>18784505</v>
      </c>
      <c r="O4" s="0" t="n">
        <v>1785475</v>
      </c>
      <c r="P4" s="0" t="n">
        <v>156892690</v>
      </c>
      <c r="Q4" s="0" t="n">
        <v>14184905</v>
      </c>
      <c r="R4" s="0" t="n">
        <v>3649105</v>
      </c>
      <c r="S4" s="0" t="n">
        <v>900750</v>
      </c>
      <c r="T4" s="0" t="n">
        <v>1813050</v>
      </c>
      <c r="U4" s="0" t="n">
        <v>434450</v>
      </c>
      <c r="W4" s="0" t="n">
        <f aca="false">C4/B4</f>
        <v>0.178995433789954</v>
      </c>
      <c r="X4" s="0" t="n">
        <f aca="false">S4/R4</f>
        <v>0.246841348769082</v>
      </c>
      <c r="Y4" s="2" t="n">
        <f aca="false">IF(W4&gt;X4,TRUE())</f>
        <v>0</v>
      </c>
      <c r="AA4" s="2" t="n">
        <f aca="false">G4/(G4+K4)</f>
        <v>0.579288025889968</v>
      </c>
      <c r="AB4" s="0" t="n">
        <f aca="false">U4/(U4+O4/10)</f>
        <v>0.70873045974902</v>
      </c>
      <c r="AC4" s="2" t="n">
        <f aca="false">IF(AA4&lt;AB4,TRUE())</f>
        <v>1</v>
      </c>
      <c r="AE4" s="0" t="n">
        <f aca="false">G4/F4</f>
        <v>0.157017543859649</v>
      </c>
      <c r="AF4" s="0" t="n">
        <f aca="false">U4/T4</f>
        <v>0.239623838283555</v>
      </c>
      <c r="AG4" s="2" t="n">
        <f aca="false">IF(AE4&lt;AF4,TRUE())</f>
        <v>1</v>
      </c>
      <c r="AI4" s="0" t="n">
        <f aca="false">K4/J4</f>
        <v>0.0850785340314136</v>
      </c>
      <c r="AJ4" s="0" t="n">
        <f aca="false">Q4/P4</f>
        <v>0.0904115099307686</v>
      </c>
      <c r="AK4" s="2" t="n">
        <f aca="false">IF(AI4&gt;AJ4,TRUE())</f>
        <v>0</v>
      </c>
    </row>
    <row r="5" customFormat="false" ht="12.8" hidden="false" customHeight="false" outlineLevel="0" collapsed="false">
      <c r="A5" s="0" t="n">
        <v>26</v>
      </c>
      <c r="B5" s="0" t="n">
        <v>6925</v>
      </c>
      <c r="C5" s="0" t="n">
        <v>1720</v>
      </c>
      <c r="D5" s="0" t="n">
        <v>35300</v>
      </c>
      <c r="E5" s="0" t="n">
        <v>12100</v>
      </c>
      <c r="F5" s="0" t="n">
        <v>7330</v>
      </c>
      <c r="G5" s="0" t="n">
        <v>1715</v>
      </c>
      <c r="H5" s="0" t="n">
        <v>26200</v>
      </c>
      <c r="I5" s="0" t="n">
        <v>14200</v>
      </c>
      <c r="J5" s="0" t="n">
        <v>6385</v>
      </c>
      <c r="K5" s="0" t="n">
        <v>770</v>
      </c>
      <c r="L5" s="0" t="n">
        <v>54000</v>
      </c>
      <c r="M5" s="0" t="n">
        <v>18400</v>
      </c>
      <c r="N5" s="0" t="n">
        <v>10670950</v>
      </c>
      <c r="O5" s="0" t="n">
        <v>1110940</v>
      </c>
      <c r="P5" s="0" t="n">
        <v>78767230</v>
      </c>
      <c r="Q5" s="0" t="n">
        <v>8323720</v>
      </c>
      <c r="R5" s="0" t="n">
        <v>2703355</v>
      </c>
      <c r="S5" s="0" t="n">
        <v>670995</v>
      </c>
      <c r="T5" s="0" t="n">
        <v>1405345</v>
      </c>
      <c r="U5" s="0" t="n">
        <v>365025</v>
      </c>
      <c r="W5" s="0" t="n">
        <f aca="false">C5/B5</f>
        <v>0.248375451263538</v>
      </c>
      <c r="X5" s="0" t="n">
        <f aca="false">S5/R5</f>
        <v>0.248208244940084</v>
      </c>
      <c r="Y5" s="2" t="n">
        <f aca="false">IF(W5&gt;X5,TRUE())</f>
        <v>1</v>
      </c>
      <c r="AA5" s="2" t="n">
        <f aca="false">G5/(G5+K5)</f>
        <v>0.690140845070423</v>
      </c>
      <c r="AB5" s="0" t="n">
        <f aca="false">U5/(U5+O5/10)</f>
        <v>0.766667576803278</v>
      </c>
      <c r="AC5" s="2" t="n">
        <f aca="false">IF(AA5&lt;AB5,TRUE())</f>
        <v>1</v>
      </c>
      <c r="AE5" s="0" t="n">
        <f aca="false">G5/F5</f>
        <v>0.233969986357435</v>
      </c>
      <c r="AF5" s="0" t="n">
        <f aca="false">U5/T5</f>
        <v>0.259740490769171</v>
      </c>
      <c r="AG5" s="2" t="n">
        <f aca="false">IF(AE5&lt;AF5,TRUE())</f>
        <v>1</v>
      </c>
      <c r="AI5" s="0" t="n">
        <f aca="false">K5/J5</f>
        <v>0.120595144870791</v>
      </c>
      <c r="AJ5" s="0" t="n">
        <f aca="false">Q5/P5</f>
        <v>0.105674910746512</v>
      </c>
      <c r="AK5" s="2" t="n">
        <f aca="false">IF(AI5&gt;AJ5,TRUE())</f>
        <v>1</v>
      </c>
    </row>
    <row r="6" customFormat="false" ht="12.8" hidden="false" customHeight="false" outlineLevel="0" collapsed="false">
      <c r="A6" s="0" t="n">
        <v>28</v>
      </c>
      <c r="B6" s="0" t="n">
        <v>9480</v>
      </c>
      <c r="C6" s="0" t="n">
        <v>1905</v>
      </c>
      <c r="D6" s="0" t="n">
        <v>49100</v>
      </c>
      <c r="E6" s="0" t="n">
        <v>21000</v>
      </c>
      <c r="F6" s="0" t="n">
        <v>9230</v>
      </c>
      <c r="G6" s="0" t="n">
        <v>1660</v>
      </c>
      <c r="H6" s="0" t="n">
        <v>47200</v>
      </c>
      <c r="I6" s="0" t="n">
        <v>20200</v>
      </c>
      <c r="J6" s="0" t="n">
        <v>12545</v>
      </c>
      <c r="K6" s="0" t="n">
        <v>1205</v>
      </c>
      <c r="L6" s="0" t="n">
        <v>75300</v>
      </c>
      <c r="M6" s="0" t="n">
        <v>24800</v>
      </c>
      <c r="N6" s="0" t="n">
        <v>18784505</v>
      </c>
      <c r="O6" s="0" t="n">
        <v>1785475</v>
      </c>
      <c r="P6" s="0" t="n">
        <v>156892690</v>
      </c>
      <c r="Q6" s="0" t="n">
        <v>14184905</v>
      </c>
      <c r="R6" s="0" t="n">
        <v>3649105</v>
      </c>
      <c r="S6" s="0" t="n">
        <v>900750</v>
      </c>
      <c r="T6" s="0" t="n">
        <v>1813050</v>
      </c>
      <c r="U6" s="0" t="n">
        <v>434450</v>
      </c>
      <c r="W6" s="0" t="n">
        <f aca="false">C6/B6</f>
        <v>0.200949367088608</v>
      </c>
      <c r="X6" s="0" t="n">
        <f aca="false">S6/R6</f>
        <v>0.246841348769082</v>
      </c>
      <c r="Y6" s="2" t="n">
        <f aca="false">IF(W6&gt;X6,TRUE())</f>
        <v>0</v>
      </c>
      <c r="AA6" s="2" t="n">
        <f aca="false">G6/(G6+K6)</f>
        <v>0.579406631762653</v>
      </c>
      <c r="AB6" s="0" t="n">
        <f aca="false">U6/(U6+O6/10)</f>
        <v>0.70873045974902</v>
      </c>
      <c r="AC6" s="2" t="n">
        <f aca="false">IF(AA6&lt;AB6,TRUE())</f>
        <v>1</v>
      </c>
      <c r="AE6" s="0" t="n">
        <f aca="false">G6/F6</f>
        <v>0.179848320693391</v>
      </c>
      <c r="AF6" s="0" t="n">
        <f aca="false">U6/T6</f>
        <v>0.239623838283555</v>
      </c>
      <c r="AG6" s="2" t="n">
        <f aca="false">IF(AE6&lt;AF6,TRUE())</f>
        <v>1</v>
      </c>
      <c r="AI6" s="0" t="n">
        <f aca="false">K6/J6</f>
        <v>0.096054204862495</v>
      </c>
      <c r="AJ6" s="0" t="n">
        <f aca="false">Q6/P6</f>
        <v>0.0904115099307686</v>
      </c>
      <c r="AK6" s="2" t="n">
        <f aca="false">IF(AI6&gt;AJ6,TRUE())</f>
        <v>1</v>
      </c>
    </row>
    <row r="7" customFormat="false" ht="12.8" hidden="false" customHeight="false" outlineLevel="0" collapsed="false">
      <c r="A7" s="0" t="n">
        <v>33</v>
      </c>
      <c r="B7" s="0" t="n">
        <v>10045</v>
      </c>
      <c r="C7" s="0" t="n">
        <v>2100</v>
      </c>
      <c r="D7" s="0" t="n">
        <v>59600</v>
      </c>
      <c r="E7" s="0" t="n">
        <v>23400</v>
      </c>
      <c r="F7" s="0" t="n">
        <v>9635</v>
      </c>
      <c r="G7" s="0" t="n">
        <v>2125</v>
      </c>
      <c r="H7" s="0" t="n">
        <v>62400</v>
      </c>
      <c r="I7" s="0" t="n">
        <v>25600</v>
      </c>
      <c r="J7" s="0" t="n">
        <v>22725</v>
      </c>
      <c r="K7" s="0" t="n">
        <v>2170</v>
      </c>
      <c r="L7" s="0" t="n">
        <v>98600</v>
      </c>
      <c r="M7" s="0" t="n">
        <v>34700</v>
      </c>
      <c r="N7" s="0" t="n">
        <v>20067625</v>
      </c>
      <c r="O7" s="0" t="n">
        <v>1997850</v>
      </c>
      <c r="P7" s="0" t="n">
        <v>125007110</v>
      </c>
      <c r="Q7" s="0" t="n">
        <v>11612475</v>
      </c>
      <c r="R7" s="0" t="n">
        <v>3295570</v>
      </c>
      <c r="S7" s="0" t="n">
        <v>897425</v>
      </c>
      <c r="T7" s="0" t="n">
        <v>1892160</v>
      </c>
      <c r="U7" s="0" t="n">
        <v>416410</v>
      </c>
      <c r="W7" s="0" t="n">
        <f aca="false">C7/B7</f>
        <v>0.209059233449477</v>
      </c>
      <c r="X7" s="0" t="n">
        <f aca="false">S7/R7</f>
        <v>0.272312528636928</v>
      </c>
      <c r="Y7" s="2" t="n">
        <f aca="false">IF(W7&gt;X7,TRUE())</f>
        <v>0</v>
      </c>
      <c r="AA7" s="2" t="n">
        <f aca="false">G7/(G7+K7)</f>
        <v>0.49476135040745</v>
      </c>
      <c r="AB7" s="0" t="n">
        <f aca="false">U7/(U7+O7/10)</f>
        <v>0.675776337036165</v>
      </c>
      <c r="AC7" s="2" t="n">
        <f aca="false">IF(AA7&lt;AB7,TRUE())</f>
        <v>1</v>
      </c>
      <c r="AE7" s="0" t="n">
        <f aca="false">G7/F7</f>
        <v>0.220550077841204</v>
      </c>
      <c r="AF7" s="0" t="n">
        <f aca="false">U7/T7</f>
        <v>0.220071241332657</v>
      </c>
      <c r="AG7" s="2" t="n">
        <f aca="false">IF(AE7&lt;AF7,TRUE())</f>
        <v>0</v>
      </c>
      <c r="AI7" s="0" t="n">
        <f aca="false">K7/J7</f>
        <v>0.0954895489548955</v>
      </c>
      <c r="AJ7" s="0" t="n">
        <f aca="false">Q7/P7</f>
        <v>0.0928945161599208</v>
      </c>
      <c r="AK7" s="2" t="n">
        <f aca="false">IF(AI7&gt;AJ7,TRUE())</f>
        <v>1</v>
      </c>
    </row>
    <row r="8" customFormat="false" ht="12.8" hidden="false" customHeight="false" outlineLevel="0" collapsed="false">
      <c r="A8" s="0" t="n">
        <v>34</v>
      </c>
      <c r="B8" s="0" t="n">
        <v>8035</v>
      </c>
      <c r="C8" s="0" t="n">
        <v>2030</v>
      </c>
      <c r="D8" s="0" t="n">
        <v>47300</v>
      </c>
      <c r="E8" s="0" t="n">
        <v>16500</v>
      </c>
      <c r="F8" s="0" t="n">
        <v>10210</v>
      </c>
      <c r="G8" s="0" t="n">
        <v>2290</v>
      </c>
      <c r="H8" s="0" t="n">
        <v>47300</v>
      </c>
      <c r="I8" s="0" t="n">
        <v>20000</v>
      </c>
      <c r="J8" s="0" t="n">
        <v>8215</v>
      </c>
      <c r="K8" s="0" t="n">
        <v>770</v>
      </c>
      <c r="L8" s="0" t="n">
        <v>79300</v>
      </c>
      <c r="M8" s="0" t="n">
        <v>28900</v>
      </c>
      <c r="N8" s="0" t="n">
        <v>20002465</v>
      </c>
      <c r="O8" s="0" t="n">
        <v>1869435</v>
      </c>
      <c r="P8" s="0" t="n">
        <v>159743800</v>
      </c>
      <c r="Q8" s="0" t="n">
        <v>14114155</v>
      </c>
      <c r="R8" s="0" t="n">
        <v>3636940</v>
      </c>
      <c r="S8" s="0" t="n">
        <v>934375</v>
      </c>
      <c r="T8" s="0" t="n">
        <v>1936145</v>
      </c>
      <c r="U8" s="0" t="n">
        <v>438270</v>
      </c>
      <c r="W8" s="0" t="n">
        <f aca="false">C8/B8</f>
        <v>0.252644679527069</v>
      </c>
      <c r="X8" s="0" t="n">
        <f aca="false">S8/R8</f>
        <v>0.256912404383905</v>
      </c>
      <c r="Y8" s="2" t="n">
        <f aca="false">IF(W8&gt;X8,TRUE())</f>
        <v>0</v>
      </c>
      <c r="AA8" s="2" t="n">
        <f aca="false">G8/(G8+K8)</f>
        <v>0.748366013071895</v>
      </c>
      <c r="AB8" s="0" t="n">
        <f aca="false">U8/(U8+O8/10)</f>
        <v>0.700992540948012</v>
      </c>
      <c r="AC8" s="2" t="n">
        <f aca="false">IF(AA8&lt;AB8,TRUE())</f>
        <v>0</v>
      </c>
      <c r="AE8" s="0" t="n">
        <f aca="false">G8/F8</f>
        <v>0.224289911851126</v>
      </c>
      <c r="AF8" s="0" t="n">
        <f aca="false">U8/T8</f>
        <v>0.226362178452544</v>
      </c>
      <c r="AG8" s="2" t="n">
        <f aca="false">IF(AE8&lt;AF8,TRUE())</f>
        <v>1</v>
      </c>
      <c r="AI8" s="0" t="n">
        <f aca="false">K8/J8</f>
        <v>0.09373097991479</v>
      </c>
      <c r="AJ8" s="0" t="n">
        <f aca="false">Q8/P8</f>
        <v>0.0883549471090584</v>
      </c>
      <c r="AK8" s="2" t="n">
        <f aca="false">IF(AI8&gt;AJ8,TRUE())</f>
        <v>1</v>
      </c>
    </row>
    <row r="9" customFormat="false" ht="12.8" hidden="false" customHeight="false" outlineLevel="0" collapsed="false">
      <c r="A9" s="0" t="n">
        <v>36</v>
      </c>
      <c r="B9" s="0" t="n">
        <v>18140</v>
      </c>
      <c r="C9" s="0" t="n">
        <v>5525</v>
      </c>
      <c r="D9" s="0" t="n">
        <v>59800</v>
      </c>
      <c r="E9" s="0" t="n">
        <v>22400</v>
      </c>
      <c r="F9" s="0" t="n">
        <v>16730</v>
      </c>
      <c r="G9" s="0" t="n">
        <v>3885</v>
      </c>
      <c r="H9" s="0" t="n">
        <v>52200</v>
      </c>
      <c r="I9" s="0" t="n">
        <v>33800</v>
      </c>
      <c r="J9" s="0" t="s">
        <v>30</v>
      </c>
      <c r="K9" s="0" t="s">
        <v>30</v>
      </c>
      <c r="L9" s="0" t="s">
        <v>30</v>
      </c>
      <c r="M9" s="0" t="s">
        <v>30</v>
      </c>
      <c r="N9" s="0" t="n">
        <v>19383275</v>
      </c>
      <c r="O9" s="0" t="n">
        <v>2021340</v>
      </c>
      <c r="P9" s="0" t="n">
        <v>97455375</v>
      </c>
      <c r="Q9" s="0" t="n">
        <v>9649490</v>
      </c>
      <c r="R9" s="0" t="n">
        <v>2818225</v>
      </c>
      <c r="S9" s="0" t="n">
        <v>807700</v>
      </c>
      <c r="T9" s="0" t="n">
        <v>1784330</v>
      </c>
      <c r="U9" s="0" t="n">
        <v>402850</v>
      </c>
      <c r="W9" s="0" t="n">
        <f aca="false">C9/B9</f>
        <v>0.30457552370452</v>
      </c>
      <c r="X9" s="0" t="n">
        <f aca="false">S9/R9</f>
        <v>0.286598834372699</v>
      </c>
      <c r="Y9" s="2" t="n">
        <f aca="false">IF(W9&gt;X9,TRUE())</f>
        <v>1</v>
      </c>
      <c r="AA9" s="2"/>
      <c r="AB9" s="0" t="n">
        <f aca="false">U9/(U9+O9/10)</f>
        <v>0.665885378786877</v>
      </c>
      <c r="AC9" s="2" t="n">
        <f aca="false">IF(AA9&lt;AB9,TRUE())</f>
        <v>1</v>
      </c>
      <c r="AE9" s="0" t="n">
        <f aca="false">G9/F9</f>
        <v>0.232217573221757</v>
      </c>
      <c r="AF9" s="0" t="n">
        <f aca="false">U9/T9</f>
        <v>0.225771017692916</v>
      </c>
      <c r="AG9" s="2" t="n">
        <f aca="false">IF(AE9&lt;AF9,TRUE())</f>
        <v>0</v>
      </c>
      <c r="AI9" s="0" t="e">
        <f aca="false">K9/J9</f>
        <v>#VALUE!</v>
      </c>
      <c r="AJ9" s="0" t="n">
        <f aca="false">Q9/P9</f>
        <v>0.0990144463555756</v>
      </c>
      <c r="AK9" s="2" t="e">
        <f aca="false">IF(AI9&gt;AJ9,TRUE())</f>
        <v>#VALUE!</v>
      </c>
    </row>
    <row r="10" customFormat="false" ht="12.8" hidden="false" customHeight="false" outlineLevel="0" collapsed="false">
      <c r="A10" s="0" t="n">
        <v>39</v>
      </c>
      <c r="B10" s="0" t="n">
        <v>10695</v>
      </c>
      <c r="C10" s="0" t="n">
        <v>2205</v>
      </c>
      <c r="D10" s="0" t="n">
        <v>53800</v>
      </c>
      <c r="E10" s="0" t="n">
        <v>22200</v>
      </c>
      <c r="F10" s="0" t="n">
        <v>15855</v>
      </c>
      <c r="G10" s="0" t="n">
        <v>2150</v>
      </c>
      <c r="H10" s="0" t="n">
        <v>68400</v>
      </c>
      <c r="I10" s="0" t="n">
        <v>24500</v>
      </c>
      <c r="J10" s="0" t="n">
        <v>10030</v>
      </c>
      <c r="K10" s="0" t="n">
        <v>920</v>
      </c>
      <c r="L10" s="0" t="n">
        <v>83800</v>
      </c>
      <c r="M10" s="0" t="n">
        <v>30100</v>
      </c>
      <c r="N10" s="0" t="n">
        <v>20493125</v>
      </c>
      <c r="O10" s="0" t="n">
        <v>1939110</v>
      </c>
      <c r="P10" s="0" t="n">
        <v>160791095</v>
      </c>
      <c r="Q10" s="0" t="n">
        <v>14397820</v>
      </c>
      <c r="R10" s="0" t="n">
        <v>3591065</v>
      </c>
      <c r="S10" s="0" t="n">
        <v>941740</v>
      </c>
      <c r="T10" s="0" t="n">
        <v>1980965</v>
      </c>
      <c r="U10" s="0" t="n">
        <v>439675</v>
      </c>
      <c r="W10" s="0" t="n">
        <f aca="false">C10/B10</f>
        <v>0.20617110799439</v>
      </c>
      <c r="X10" s="0" t="n">
        <f aca="false">S10/R10</f>
        <v>0.262245322766366</v>
      </c>
      <c r="Y10" s="2" t="n">
        <f aca="false">IF(W10&gt;X10,TRUE())</f>
        <v>0</v>
      </c>
      <c r="AA10" s="2" t="n">
        <f aca="false">G10/(G10+K10)</f>
        <v>0.700325732899023</v>
      </c>
      <c r="AB10" s="0" t="n">
        <f aca="false">U10/(U10+O10/10)</f>
        <v>0.693946835946501</v>
      </c>
      <c r="AC10" s="2" t="n">
        <f aca="false">IF(AA10&lt;AB10,TRUE())</f>
        <v>0</v>
      </c>
      <c r="AE10" s="0" t="n">
        <f aca="false">G10/F10</f>
        <v>0.135603910438348</v>
      </c>
      <c r="AF10" s="0" t="n">
        <f aca="false">U10/T10</f>
        <v>0.221949908251786</v>
      </c>
      <c r="AG10" s="2" t="n">
        <f aca="false">IF(AE10&lt;AF10,TRUE())</f>
        <v>1</v>
      </c>
      <c r="AI10" s="0" t="n">
        <f aca="false">K10/J10</f>
        <v>0.0917248255234297</v>
      </c>
      <c r="AJ10" s="0" t="n">
        <f aca="false">Q10/P10</f>
        <v>0.0895436404609347</v>
      </c>
      <c r="AK10" s="2" t="n">
        <f aca="false">IF(AI10&gt;AJ10,TRUE())</f>
        <v>1</v>
      </c>
    </row>
    <row r="11" customFormat="false" ht="12.8" hidden="false" customHeight="false" outlineLevel="0" collapsed="false">
      <c r="A11" s="0" t="n">
        <v>47</v>
      </c>
      <c r="B11" s="0" t="n">
        <v>8455</v>
      </c>
      <c r="C11" s="0" t="n">
        <v>3195</v>
      </c>
      <c r="D11" s="0" t="n">
        <v>47500</v>
      </c>
      <c r="E11" s="0" t="n">
        <v>19500</v>
      </c>
      <c r="F11" s="0" t="n">
        <v>8165</v>
      </c>
      <c r="G11" s="0" t="n">
        <v>2435</v>
      </c>
      <c r="H11" s="0" t="n">
        <v>53700</v>
      </c>
      <c r="I11" s="0" t="n">
        <v>24000</v>
      </c>
      <c r="J11" s="0" t="s">
        <v>30</v>
      </c>
      <c r="K11" s="0" t="s">
        <v>30</v>
      </c>
      <c r="L11" s="0" t="s">
        <v>30</v>
      </c>
      <c r="M11" s="0" t="s">
        <v>30</v>
      </c>
      <c r="N11" s="0" t="n">
        <v>19383275</v>
      </c>
      <c r="O11" s="0" t="n">
        <v>2021340</v>
      </c>
      <c r="P11" s="0" t="n">
        <v>97455375</v>
      </c>
      <c r="Q11" s="0" t="n">
        <v>9649490</v>
      </c>
      <c r="R11" s="0" t="n">
        <v>2818225</v>
      </c>
      <c r="S11" s="0" t="n">
        <v>807700</v>
      </c>
      <c r="T11" s="0" t="n">
        <v>1784330</v>
      </c>
      <c r="U11" s="0" t="n">
        <v>402850</v>
      </c>
      <c r="W11" s="0" t="n">
        <f aca="false">C11/B11</f>
        <v>0.377882909520993</v>
      </c>
      <c r="X11" s="0" t="n">
        <f aca="false">S11/R11</f>
        <v>0.286598834372699</v>
      </c>
      <c r="Y11" s="2" t="n">
        <f aca="false">IF(W11&gt;X11,TRUE())</f>
        <v>1</v>
      </c>
      <c r="AA11" s="2"/>
      <c r="AB11" s="0" t="n">
        <f aca="false">U11/(U11+O11/10)</f>
        <v>0.665885378786877</v>
      </c>
      <c r="AC11" s="2" t="n">
        <f aca="false">IF(AA11&lt;AB11,TRUE())</f>
        <v>1</v>
      </c>
      <c r="AE11" s="0" t="n">
        <f aca="false">G11/F11</f>
        <v>0.298224127372933</v>
      </c>
      <c r="AF11" s="0" t="n">
        <f aca="false">U11/T11</f>
        <v>0.225771017692916</v>
      </c>
      <c r="AG11" s="2" t="n">
        <f aca="false">IF(AE11&lt;AF11,TRUE())</f>
        <v>0</v>
      </c>
      <c r="AI11" s="0" t="e">
        <f aca="false">K11/J11</f>
        <v>#VALUE!</v>
      </c>
      <c r="AJ11" s="0" t="n">
        <f aca="false">Q11/P11</f>
        <v>0.0990144463555756</v>
      </c>
      <c r="AK11" s="2" t="e">
        <f aca="false">IF(AI11&gt;AJ11,TRUE())</f>
        <v>#VALUE!</v>
      </c>
    </row>
    <row r="12" customFormat="false" ht="12.8" hidden="false" customHeight="false" outlineLevel="0" collapsed="false">
      <c r="A12" s="0" t="n">
        <v>50</v>
      </c>
      <c r="B12" s="0" t="n">
        <v>9250</v>
      </c>
      <c r="C12" s="0" t="n">
        <v>4020</v>
      </c>
      <c r="D12" s="0" t="n">
        <v>38300</v>
      </c>
      <c r="E12" s="0" t="n">
        <v>17900</v>
      </c>
      <c r="F12" s="0" t="n">
        <v>10715</v>
      </c>
      <c r="G12" s="0" t="n">
        <v>3170</v>
      </c>
      <c r="H12" s="0" t="n">
        <v>45200</v>
      </c>
      <c r="I12" s="0" t="n">
        <v>20800</v>
      </c>
      <c r="J12" s="0" t="n">
        <v>3055</v>
      </c>
      <c r="K12" s="0" t="n">
        <v>710</v>
      </c>
      <c r="L12" s="0" t="n">
        <v>52500</v>
      </c>
      <c r="M12" s="0" t="n">
        <v>20800</v>
      </c>
      <c r="N12" s="0" t="n">
        <v>20108570</v>
      </c>
      <c r="O12" s="0" t="n">
        <v>1953745</v>
      </c>
      <c r="P12" s="0" t="n">
        <v>136647505</v>
      </c>
      <c r="Q12" s="0" t="n">
        <v>12494525</v>
      </c>
      <c r="R12" s="0" t="n">
        <v>3312140</v>
      </c>
      <c r="S12" s="0" t="n">
        <v>888345</v>
      </c>
      <c r="T12" s="0" t="n">
        <v>1927690</v>
      </c>
      <c r="U12" s="0" t="n">
        <v>421865</v>
      </c>
      <c r="W12" s="0" t="n">
        <f aca="false">C12/B12</f>
        <v>0.434594594594595</v>
      </c>
      <c r="X12" s="0" t="n">
        <f aca="false">S12/R12</f>
        <v>0.26820877136836</v>
      </c>
      <c r="Y12" s="2" t="n">
        <f aca="false">IF(W12&gt;X12,TRUE())</f>
        <v>1</v>
      </c>
      <c r="AA12" s="2" t="n">
        <f aca="false">G12/(G12+K12)</f>
        <v>0.81701030927835</v>
      </c>
      <c r="AB12" s="0" t="n">
        <f aca="false">U12/(U12+O12/10)</f>
        <v>0.683470516711908</v>
      </c>
      <c r="AC12" s="2" t="n">
        <f aca="false">IF(AA12&lt;AB12,TRUE())</f>
        <v>0</v>
      </c>
      <c r="AE12" s="0" t="n">
        <f aca="false">G12/F12</f>
        <v>0.295846943537097</v>
      </c>
      <c r="AF12" s="0" t="n">
        <f aca="false">U12/T12</f>
        <v>0.218844835009779</v>
      </c>
      <c r="AG12" s="2" t="n">
        <f aca="false">IF(AE12&lt;AF12,TRUE())</f>
        <v>0</v>
      </c>
      <c r="AI12" s="0" t="n">
        <f aca="false">K12/J12</f>
        <v>0.23240589198036</v>
      </c>
      <c r="AJ12" s="0" t="n">
        <f aca="false">Q12/P12</f>
        <v>0.0914361736791316</v>
      </c>
      <c r="AK12" s="2" t="n">
        <f aca="false">IF(AI12&gt;AJ12,TRUE())</f>
        <v>1</v>
      </c>
    </row>
    <row r="13" customFormat="false" ht="12.8" hidden="false" customHeight="false" outlineLevel="0" collapsed="false">
      <c r="A13" s="0" t="n">
        <v>57</v>
      </c>
      <c r="B13" s="0" t="n">
        <v>40280</v>
      </c>
      <c r="C13" s="0" t="n">
        <v>14915</v>
      </c>
      <c r="D13" s="0" t="n">
        <v>50100</v>
      </c>
      <c r="E13" s="0" t="n">
        <v>21300</v>
      </c>
      <c r="F13" s="0" t="n">
        <v>38000</v>
      </c>
      <c r="G13" s="0" t="n">
        <v>11125</v>
      </c>
      <c r="H13" s="0" t="n">
        <v>54800</v>
      </c>
      <c r="I13" s="0" t="n">
        <v>24300</v>
      </c>
      <c r="J13" s="0" t="n">
        <v>1280</v>
      </c>
      <c r="K13" s="0" t="n">
        <v>565</v>
      </c>
      <c r="L13" s="0" t="n">
        <v>36500</v>
      </c>
      <c r="M13" s="0" t="n">
        <v>9400</v>
      </c>
      <c r="N13" s="0" t="n">
        <v>19383275</v>
      </c>
      <c r="O13" s="0" t="n">
        <v>2021340</v>
      </c>
      <c r="P13" s="0" t="n">
        <v>97455375</v>
      </c>
      <c r="Q13" s="0" t="n">
        <v>9649490</v>
      </c>
      <c r="R13" s="0" t="n">
        <v>2818225</v>
      </c>
      <c r="S13" s="0" t="n">
        <v>807700</v>
      </c>
      <c r="T13" s="0" t="n">
        <v>1784330</v>
      </c>
      <c r="U13" s="0" t="n">
        <v>402850</v>
      </c>
      <c r="W13" s="0" t="n">
        <f aca="false">C13/B13</f>
        <v>0.370283018867925</v>
      </c>
      <c r="X13" s="0" t="n">
        <f aca="false">S13/R13</f>
        <v>0.286598834372699</v>
      </c>
      <c r="Y13" s="2" t="n">
        <f aca="false">IF(W13&gt;X13,TRUE())</f>
        <v>1</v>
      </c>
      <c r="AA13" s="2" t="n">
        <f aca="false">G13/(G13+K13)</f>
        <v>0.951668092386655</v>
      </c>
      <c r="AB13" s="0" t="n">
        <f aca="false">U13/(U13+O13/10)</f>
        <v>0.665885378786877</v>
      </c>
      <c r="AC13" s="2" t="n">
        <f aca="false">IF(AA13&lt;AB13,TRUE())</f>
        <v>0</v>
      </c>
      <c r="AE13" s="0" t="n">
        <f aca="false">G13/F13</f>
        <v>0.292763157894737</v>
      </c>
      <c r="AF13" s="0" t="n">
        <f aca="false">U13/T13</f>
        <v>0.225771017692916</v>
      </c>
      <c r="AG13" s="2" t="n">
        <f aca="false">IF(AE13&lt;AF13,TRUE())</f>
        <v>0</v>
      </c>
      <c r="AI13" s="0" t="n">
        <f aca="false">K13/J13</f>
        <v>0.44140625</v>
      </c>
      <c r="AJ13" s="0" t="n">
        <f aca="false">Q13/P13</f>
        <v>0.0990144463555756</v>
      </c>
      <c r="AK13" s="2" t="n">
        <f aca="false">IF(AI13&gt;AJ13,TRUE())</f>
        <v>1</v>
      </c>
    </row>
    <row r="14" customFormat="false" ht="12.8" hidden="false" customHeight="false" outlineLevel="0" collapsed="false">
      <c r="A14" s="0" t="n">
        <v>60</v>
      </c>
      <c r="B14" s="0" t="n">
        <v>7555</v>
      </c>
      <c r="C14" s="0" t="n">
        <v>1935</v>
      </c>
      <c r="D14" s="0" t="n">
        <v>67000</v>
      </c>
      <c r="E14" s="0" t="n">
        <v>25700</v>
      </c>
      <c r="F14" s="0" t="n">
        <v>5715</v>
      </c>
      <c r="G14" s="0" t="n">
        <v>1375</v>
      </c>
      <c r="H14" s="0" t="n">
        <v>47900</v>
      </c>
      <c r="I14" s="0" t="n">
        <v>32700</v>
      </c>
      <c r="J14" s="0" t="n">
        <v>5040</v>
      </c>
      <c r="K14" s="0" t="n">
        <v>775</v>
      </c>
      <c r="L14" s="0" t="n">
        <v>72400</v>
      </c>
      <c r="M14" s="0" t="n">
        <v>42200</v>
      </c>
      <c r="N14" s="0" t="n">
        <v>19383275</v>
      </c>
      <c r="O14" s="0" t="n">
        <v>2021340</v>
      </c>
      <c r="P14" s="0" t="n">
        <v>97455375</v>
      </c>
      <c r="Q14" s="0" t="n">
        <v>9649490</v>
      </c>
      <c r="R14" s="0" t="n">
        <v>2818225</v>
      </c>
      <c r="S14" s="0" t="n">
        <v>807700</v>
      </c>
      <c r="T14" s="0" t="n">
        <v>1784330</v>
      </c>
      <c r="U14" s="0" t="n">
        <v>402850</v>
      </c>
      <c r="W14" s="0" t="n">
        <f aca="false">C14/B14</f>
        <v>0.256121773659828</v>
      </c>
      <c r="X14" s="0" t="n">
        <f aca="false">S14/R14</f>
        <v>0.286598834372699</v>
      </c>
      <c r="Y14" s="2" t="n">
        <f aca="false">IF(W14&gt;X14,TRUE())</f>
        <v>0</v>
      </c>
      <c r="AA14" s="2" t="n">
        <f aca="false">G14/(G14+K14)</f>
        <v>0.63953488372093</v>
      </c>
      <c r="AB14" s="0" t="n">
        <f aca="false">U14/(U14+O14/10)</f>
        <v>0.665885378786877</v>
      </c>
      <c r="AC14" s="2" t="n">
        <f aca="false">IF(AA14&lt;AB14,TRUE())</f>
        <v>1</v>
      </c>
      <c r="AE14" s="0" t="n">
        <f aca="false">G14/F14</f>
        <v>0.240594925634296</v>
      </c>
      <c r="AF14" s="0" t="n">
        <f aca="false">U14/T14</f>
        <v>0.225771017692916</v>
      </c>
      <c r="AG14" s="2" t="n">
        <f aca="false">IF(AE14&lt;AF14,TRUE())</f>
        <v>0</v>
      </c>
      <c r="AI14" s="0" t="n">
        <f aca="false">K14/J14</f>
        <v>0.153769841269841</v>
      </c>
      <c r="AJ14" s="0" t="n">
        <f aca="false">Q14/P14</f>
        <v>0.0990144463555756</v>
      </c>
      <c r="AK14" s="2" t="n">
        <f aca="false">IF(AI14&gt;AJ14,TRUE())</f>
        <v>1</v>
      </c>
    </row>
    <row r="15" customFormat="false" ht="12.8" hidden="false" customHeight="false" outlineLevel="0" collapsed="false">
      <c r="A15" s="0" t="n">
        <v>61</v>
      </c>
      <c r="B15" s="0" t="n">
        <v>10930</v>
      </c>
      <c r="C15" s="0" t="n">
        <v>2765</v>
      </c>
      <c r="D15" s="0" t="n">
        <v>47500</v>
      </c>
      <c r="E15" s="0" t="n">
        <v>19400</v>
      </c>
      <c r="F15" s="0" t="n">
        <v>21265</v>
      </c>
      <c r="G15" s="0" t="n">
        <v>2850</v>
      </c>
      <c r="H15" s="0" t="n">
        <v>63300</v>
      </c>
      <c r="I15" s="0" t="n">
        <v>26300</v>
      </c>
      <c r="J15" s="0" t="n">
        <v>8810</v>
      </c>
      <c r="K15" s="0" t="n">
        <v>945</v>
      </c>
      <c r="L15" s="0" t="n">
        <v>71300</v>
      </c>
      <c r="M15" s="0" t="n">
        <v>27400</v>
      </c>
      <c r="N15" s="0" t="n">
        <v>20493125</v>
      </c>
      <c r="O15" s="0" t="n">
        <v>1939110</v>
      </c>
      <c r="P15" s="0" t="n">
        <v>160791095</v>
      </c>
      <c r="Q15" s="0" t="n">
        <v>14397820</v>
      </c>
      <c r="R15" s="0" t="n">
        <v>3591065</v>
      </c>
      <c r="S15" s="0" t="n">
        <v>941740</v>
      </c>
      <c r="T15" s="0" t="n">
        <v>1980965</v>
      </c>
      <c r="U15" s="0" t="n">
        <v>439675</v>
      </c>
      <c r="W15" s="0" t="n">
        <f aca="false">C15/B15</f>
        <v>0.252973467520586</v>
      </c>
      <c r="X15" s="0" t="n">
        <f aca="false">S15/R15</f>
        <v>0.262245322766366</v>
      </c>
      <c r="Y15" s="2" t="n">
        <f aca="false">IF(W15&gt;X15,TRUE())</f>
        <v>0</v>
      </c>
      <c r="AA15" s="2" t="n">
        <f aca="false">G15/(G15+K15)</f>
        <v>0.75098814229249</v>
      </c>
      <c r="AB15" s="0" t="n">
        <f aca="false">U15/(U15+O15/10)</f>
        <v>0.693946835946501</v>
      </c>
      <c r="AC15" s="2" t="n">
        <f aca="false">IF(AA15&lt;AB15,TRUE())</f>
        <v>0</v>
      </c>
      <c r="AE15" s="0" t="n">
        <f aca="false">G15/F15</f>
        <v>0.134023042558194</v>
      </c>
      <c r="AF15" s="0" t="n">
        <f aca="false">U15/T15</f>
        <v>0.221949908251786</v>
      </c>
      <c r="AG15" s="2" t="n">
        <f aca="false">IF(AE15&lt;AF15,TRUE())</f>
        <v>1</v>
      </c>
      <c r="AI15" s="0" t="n">
        <f aca="false">K15/J15</f>
        <v>0.107264472190692</v>
      </c>
      <c r="AJ15" s="0" t="n">
        <f aca="false">Q15/P15</f>
        <v>0.0895436404609347</v>
      </c>
      <c r="AK15" s="2" t="n">
        <f aca="false">IF(AI15&gt;AJ15,TRUE())</f>
        <v>1</v>
      </c>
    </row>
    <row r="16" customFormat="false" ht="12.8" hidden="false" customHeight="false" outlineLevel="0" collapsed="false">
      <c r="A16" s="0" t="n">
        <v>63</v>
      </c>
      <c r="B16" s="0" t="n">
        <v>8690</v>
      </c>
      <c r="C16" s="0" t="n">
        <v>1600</v>
      </c>
      <c r="D16" s="0" t="n">
        <v>76600</v>
      </c>
      <c r="E16" s="0" t="n">
        <v>33400</v>
      </c>
      <c r="F16" s="0" t="n">
        <v>6840</v>
      </c>
      <c r="G16" s="0" t="n">
        <v>1275</v>
      </c>
      <c r="H16" s="0" t="n">
        <v>75200</v>
      </c>
      <c r="I16" s="0" t="n">
        <v>33200</v>
      </c>
      <c r="J16" s="0" t="n">
        <v>13520</v>
      </c>
      <c r="K16" s="0" t="n">
        <v>1455</v>
      </c>
      <c r="L16" s="0" t="n">
        <v>117800</v>
      </c>
      <c r="M16" s="0" t="n">
        <v>38400</v>
      </c>
      <c r="N16" s="0" t="n">
        <v>19383275</v>
      </c>
      <c r="O16" s="0" t="n">
        <v>2021340</v>
      </c>
      <c r="P16" s="0" t="n">
        <v>97455375</v>
      </c>
      <c r="Q16" s="0" t="n">
        <v>9649490</v>
      </c>
      <c r="R16" s="0" t="n">
        <v>2818225</v>
      </c>
      <c r="S16" s="0" t="n">
        <v>807700</v>
      </c>
      <c r="T16" s="0" t="n">
        <v>1784330</v>
      </c>
      <c r="U16" s="0" t="n">
        <v>402850</v>
      </c>
      <c r="W16" s="0" t="n">
        <f aca="false">C16/B16</f>
        <v>0.184119677790564</v>
      </c>
      <c r="X16" s="0" t="n">
        <f aca="false">S16/R16</f>
        <v>0.286598834372699</v>
      </c>
      <c r="Y16" s="2" t="n">
        <f aca="false">IF(W16&gt;X16,TRUE())</f>
        <v>0</v>
      </c>
      <c r="AA16" s="2" t="n">
        <f aca="false">G16/(G16+K16)</f>
        <v>0.467032967032967</v>
      </c>
      <c r="AB16" s="0" t="n">
        <f aca="false">U16/(U16+O16/10)</f>
        <v>0.665885378786877</v>
      </c>
      <c r="AC16" s="2" t="n">
        <f aca="false">IF(AA16&lt;AB16,TRUE())</f>
        <v>1</v>
      </c>
      <c r="AE16" s="0" t="n">
        <f aca="false">G16/F16</f>
        <v>0.18640350877193</v>
      </c>
      <c r="AF16" s="0" t="n">
        <f aca="false">U16/T16</f>
        <v>0.225771017692916</v>
      </c>
      <c r="AG16" s="2" t="n">
        <f aca="false">IF(AE16&lt;AF16,TRUE())</f>
        <v>1</v>
      </c>
      <c r="AI16" s="0" t="n">
        <f aca="false">K16/J16</f>
        <v>0.107618343195266</v>
      </c>
      <c r="AJ16" s="0" t="n">
        <f aca="false">Q16/P16</f>
        <v>0.0990144463555756</v>
      </c>
      <c r="AK16" s="2" t="n">
        <f aca="false">IF(AI16&gt;AJ16,TRUE())</f>
        <v>1</v>
      </c>
    </row>
    <row r="17" customFormat="false" ht="12.8" hidden="false" customHeight="false" outlineLevel="0" collapsed="false">
      <c r="A17" s="0" t="n">
        <v>64</v>
      </c>
      <c r="B17" s="0" t="n">
        <v>4945</v>
      </c>
      <c r="C17" s="0" t="n">
        <v>1330</v>
      </c>
      <c r="D17" s="0" t="n">
        <v>47300</v>
      </c>
      <c r="E17" s="0" t="n">
        <v>19100</v>
      </c>
      <c r="F17" s="0" t="n">
        <v>9810</v>
      </c>
      <c r="G17" s="0" t="n">
        <v>1300</v>
      </c>
      <c r="H17" s="0" t="n">
        <v>60800</v>
      </c>
      <c r="I17" s="0" t="n">
        <v>27200</v>
      </c>
      <c r="J17" s="0" t="s">
        <v>30</v>
      </c>
      <c r="K17" s="0" t="s">
        <v>30</v>
      </c>
      <c r="L17" s="0" t="s">
        <v>30</v>
      </c>
      <c r="M17" s="0" t="s">
        <v>30</v>
      </c>
      <c r="N17" s="0" t="n">
        <v>20493125</v>
      </c>
      <c r="O17" s="0" t="n">
        <v>1939110</v>
      </c>
      <c r="P17" s="0" t="n">
        <v>160791095</v>
      </c>
      <c r="Q17" s="0" t="n">
        <v>14397820</v>
      </c>
      <c r="R17" s="0" t="n">
        <v>3591065</v>
      </c>
      <c r="S17" s="0" t="n">
        <v>941740</v>
      </c>
      <c r="T17" s="0" t="n">
        <v>1980965</v>
      </c>
      <c r="U17" s="0" t="n">
        <v>439675</v>
      </c>
      <c r="W17" s="0" t="n">
        <f aca="false">C17/B17</f>
        <v>0.268958543983822</v>
      </c>
      <c r="X17" s="0" t="n">
        <f aca="false">S17/R17</f>
        <v>0.262245322766366</v>
      </c>
      <c r="Y17" s="2" t="n">
        <f aca="false">IF(W17&gt;X17,TRUE())</f>
        <v>1</v>
      </c>
      <c r="AA17" s="2"/>
      <c r="AB17" s="0" t="n">
        <f aca="false">U17/(U17+O17/10)</f>
        <v>0.693946835946501</v>
      </c>
      <c r="AC17" s="2" t="n">
        <f aca="false">IF(AA17&lt;AB17,TRUE())</f>
        <v>1</v>
      </c>
      <c r="AE17" s="0" t="n">
        <f aca="false">G17/F17</f>
        <v>0.132517838939857</v>
      </c>
      <c r="AF17" s="0" t="n">
        <f aca="false">U17/T17</f>
        <v>0.221949908251786</v>
      </c>
      <c r="AG17" s="2" t="n">
        <f aca="false">IF(AE17&lt;AF17,TRUE())</f>
        <v>1</v>
      </c>
      <c r="AI17" s="0" t="e">
        <f aca="false">K17/J17</f>
        <v>#VALUE!</v>
      </c>
      <c r="AJ17" s="0" t="n">
        <f aca="false">Q17/P17</f>
        <v>0.0895436404609347</v>
      </c>
      <c r="AK17" s="2" t="e">
        <f aca="false">IF(AI17&gt;AJ17,TRUE())</f>
        <v>#VALUE!</v>
      </c>
    </row>
    <row r="18" customFormat="false" ht="12.8" hidden="false" customHeight="false" outlineLevel="0" collapsed="false">
      <c r="A18" s="0" t="n">
        <v>67</v>
      </c>
      <c r="B18" s="0" t="n">
        <v>18070</v>
      </c>
      <c r="C18" s="0" t="n">
        <v>5510</v>
      </c>
      <c r="D18" s="0" t="n">
        <v>59800</v>
      </c>
      <c r="E18" s="0" t="n">
        <v>22400</v>
      </c>
      <c r="F18" s="0" t="n">
        <v>16675</v>
      </c>
      <c r="G18" s="0" t="n">
        <v>3880</v>
      </c>
      <c r="H18" s="0" t="n">
        <v>52200</v>
      </c>
      <c r="I18" s="0" t="n">
        <v>33600</v>
      </c>
      <c r="J18" s="0" t="s">
        <v>30</v>
      </c>
      <c r="K18" s="0" t="s">
        <v>30</v>
      </c>
      <c r="L18" s="0" t="s">
        <v>30</v>
      </c>
      <c r="M18" s="0" t="s">
        <v>30</v>
      </c>
      <c r="N18" s="0" t="n">
        <v>19383275</v>
      </c>
      <c r="O18" s="0" t="n">
        <v>2021340</v>
      </c>
      <c r="P18" s="0" t="n">
        <v>97455375</v>
      </c>
      <c r="Q18" s="0" t="n">
        <v>9649490</v>
      </c>
      <c r="R18" s="0" t="n">
        <v>2818225</v>
      </c>
      <c r="S18" s="0" t="n">
        <v>807700</v>
      </c>
      <c r="T18" s="0" t="n">
        <v>1784330</v>
      </c>
      <c r="U18" s="0" t="n">
        <v>402850</v>
      </c>
      <c r="W18" s="0" t="n">
        <f aca="false">C18/B18</f>
        <v>0.304925290536801</v>
      </c>
      <c r="X18" s="0" t="n">
        <f aca="false">S18/R18</f>
        <v>0.286598834372699</v>
      </c>
      <c r="Y18" s="2" t="n">
        <f aca="false">IF(W18&gt;X18,TRUE())</f>
        <v>1</v>
      </c>
      <c r="AA18" s="2"/>
      <c r="AB18" s="0" t="n">
        <f aca="false">U18/(U18+O18/10)</f>
        <v>0.665885378786877</v>
      </c>
      <c r="AC18" s="2" t="n">
        <f aca="false">IF(AA18&lt;AB18,TRUE())</f>
        <v>1</v>
      </c>
      <c r="AE18" s="0" t="n">
        <f aca="false">G18/F18</f>
        <v>0.232683658170915</v>
      </c>
      <c r="AF18" s="0" t="n">
        <f aca="false">U18/T18</f>
        <v>0.225771017692916</v>
      </c>
      <c r="AG18" s="2" t="n">
        <f aca="false">IF(AE18&lt;AF18,TRUE())</f>
        <v>0</v>
      </c>
      <c r="AI18" s="0" t="e">
        <f aca="false">K18/J18</f>
        <v>#VALUE!</v>
      </c>
      <c r="AJ18" s="0" t="n">
        <f aca="false">Q18/P18</f>
        <v>0.0990144463555756</v>
      </c>
      <c r="AK18" s="2" t="e">
        <f aca="false">IF(AI18&gt;AJ18,TRUE())</f>
        <v>#VALUE!</v>
      </c>
    </row>
    <row r="19" customFormat="false" ht="12.8" hidden="false" customHeight="false" outlineLevel="0" collapsed="false">
      <c r="A19" s="0" t="n">
        <v>69</v>
      </c>
      <c r="B19" s="0" t="n">
        <v>21830</v>
      </c>
      <c r="C19" s="0" t="n">
        <v>3660</v>
      </c>
      <c r="D19" s="0" t="n">
        <v>94800</v>
      </c>
      <c r="E19" s="0" t="n">
        <v>37100</v>
      </c>
      <c r="F19" s="0" t="n">
        <v>20950</v>
      </c>
      <c r="G19" s="0" t="n">
        <v>2690</v>
      </c>
      <c r="H19" s="0" t="n">
        <v>112800</v>
      </c>
      <c r="I19" s="0" t="n">
        <v>44700</v>
      </c>
      <c r="J19" s="0" t="n">
        <v>13150</v>
      </c>
      <c r="K19" s="0" t="n">
        <v>1455</v>
      </c>
      <c r="L19" s="0" t="n">
        <v>109200</v>
      </c>
      <c r="M19" s="0" t="n">
        <v>40600</v>
      </c>
      <c r="N19" s="0" t="n">
        <v>18555235</v>
      </c>
      <c r="O19" s="0" t="n">
        <v>2065500</v>
      </c>
      <c r="P19" s="0" t="n">
        <v>73930215</v>
      </c>
      <c r="Q19" s="0" t="n">
        <v>7839830</v>
      </c>
      <c r="R19" s="0" t="n">
        <v>2482970</v>
      </c>
      <c r="S19" s="0" t="n">
        <v>746115</v>
      </c>
      <c r="T19" s="0" t="n">
        <v>1603675</v>
      </c>
      <c r="U19" s="0" t="n">
        <v>381110</v>
      </c>
      <c r="W19" s="0" t="n">
        <f aca="false">C19/B19</f>
        <v>0.167659184608337</v>
      </c>
      <c r="X19" s="0" t="n">
        <f aca="false">S19/R19</f>
        <v>0.300492958030101</v>
      </c>
      <c r="Y19" s="2" t="n">
        <f aca="false">IF(W19&gt;X19,TRUE())</f>
        <v>0</v>
      </c>
      <c r="AA19" s="2" t="n">
        <f aca="false">G19/(G19+K19)</f>
        <v>0.64897466827503</v>
      </c>
      <c r="AB19" s="0" t="n">
        <f aca="false">U19/(U19+O19/10)</f>
        <v>0.648521253786203</v>
      </c>
      <c r="AC19" s="2" t="n">
        <f aca="false">IF(AA19&lt;AB19,TRUE())</f>
        <v>0</v>
      </c>
      <c r="AE19" s="0" t="n">
        <f aca="false">G19/F19</f>
        <v>0.128400954653938</v>
      </c>
      <c r="AF19" s="0" t="n">
        <f aca="false">U19/T19</f>
        <v>0.237647902474005</v>
      </c>
      <c r="AG19" s="2" t="n">
        <f aca="false">IF(AE19&lt;AF19,TRUE())</f>
        <v>1</v>
      </c>
      <c r="AI19" s="0" t="n">
        <f aca="false">K19/J19</f>
        <v>0.1106463878327</v>
      </c>
      <c r="AJ19" s="0" t="n">
        <f aca="false">Q19/P19</f>
        <v>0.106043652111657</v>
      </c>
      <c r="AK19" s="2" t="n">
        <f aca="false">IF(AI19&gt;AJ19,TRUE())</f>
        <v>1</v>
      </c>
    </row>
    <row r="20" customFormat="false" ht="12.8" hidden="false" customHeight="false" outlineLevel="0" collapsed="false">
      <c r="A20" s="0" t="n">
        <v>72</v>
      </c>
      <c r="B20" s="0" t="n">
        <v>3755</v>
      </c>
      <c r="C20" s="0" t="n">
        <v>765</v>
      </c>
      <c r="D20" s="0" t="n">
        <v>77000</v>
      </c>
      <c r="E20" s="0" t="n">
        <v>30400</v>
      </c>
      <c r="F20" s="0" t="s">
        <v>30</v>
      </c>
      <c r="G20" s="0" t="s">
        <v>30</v>
      </c>
      <c r="H20" s="0" t="s">
        <v>30</v>
      </c>
      <c r="I20" s="0" t="s">
        <v>30</v>
      </c>
      <c r="J20" s="0" t="s">
        <v>30</v>
      </c>
      <c r="K20" s="0" t="s">
        <v>30</v>
      </c>
      <c r="L20" s="0" t="s">
        <v>30</v>
      </c>
      <c r="M20" s="0" t="s">
        <v>30</v>
      </c>
      <c r="N20" s="0" t="n">
        <v>19383275</v>
      </c>
      <c r="O20" s="0" t="n">
        <v>2021340</v>
      </c>
      <c r="P20" s="0" t="n">
        <v>97455375</v>
      </c>
      <c r="Q20" s="0" t="n">
        <v>9649490</v>
      </c>
      <c r="R20" s="0" t="n">
        <v>2818225</v>
      </c>
      <c r="S20" s="0" t="n">
        <v>807700</v>
      </c>
      <c r="T20" s="0" t="n">
        <v>1784330</v>
      </c>
      <c r="U20" s="0" t="n">
        <v>402850</v>
      </c>
      <c r="W20" s="0" t="n">
        <f aca="false">C20/B20</f>
        <v>0.203728362183755</v>
      </c>
      <c r="X20" s="0" t="n">
        <f aca="false">S20/R20</f>
        <v>0.286598834372699</v>
      </c>
      <c r="Y20" s="2" t="n">
        <f aca="false">IF(W20&gt;X20,TRUE())</f>
        <v>0</v>
      </c>
      <c r="AA20" s="2"/>
      <c r="AB20" s="0" t="n">
        <f aca="false">U20/(U20+O20/10)</f>
        <v>0.665885378786877</v>
      </c>
      <c r="AC20" s="2" t="n">
        <f aca="false">IF(AA20&lt;AB20,TRUE())</f>
        <v>1</v>
      </c>
      <c r="AF20" s="0" t="n">
        <f aca="false">U20/T20</f>
        <v>0.225771017692916</v>
      </c>
      <c r="AG20" s="2" t="n">
        <f aca="false">IF(AE20&lt;AF20,TRUE())</f>
        <v>1</v>
      </c>
      <c r="AI20" s="0" t="e">
        <f aca="false">K20/J20</f>
        <v>#VALUE!</v>
      </c>
      <c r="AJ20" s="0" t="n">
        <f aca="false">Q20/P20</f>
        <v>0.0990144463555756</v>
      </c>
      <c r="AK20" s="2" t="e">
        <f aca="false">IF(AI20&gt;AJ20,TRUE())</f>
        <v>#VALUE!</v>
      </c>
    </row>
    <row r="21" customFormat="false" ht="12.8" hidden="false" customHeight="false" outlineLevel="0" collapsed="false">
      <c r="A21" s="0" t="n">
        <v>73</v>
      </c>
      <c r="B21" s="0" t="n">
        <v>8950</v>
      </c>
      <c r="C21" s="0" t="n">
        <v>4305</v>
      </c>
      <c r="D21" s="0" t="n">
        <v>32300</v>
      </c>
      <c r="E21" s="0" t="n">
        <v>16100</v>
      </c>
      <c r="F21" s="0" t="n">
        <v>10330</v>
      </c>
      <c r="G21" s="0" t="n">
        <v>3650</v>
      </c>
      <c r="H21" s="0" t="n">
        <v>38500</v>
      </c>
      <c r="I21" s="0" t="n">
        <v>17500</v>
      </c>
      <c r="J21" s="0" t="n">
        <v>9360</v>
      </c>
      <c r="K21" s="0" t="n">
        <v>2235</v>
      </c>
      <c r="L21" s="0" t="n">
        <v>52800</v>
      </c>
      <c r="M21" s="0" t="n">
        <v>21200</v>
      </c>
      <c r="N21" s="0" t="n">
        <v>20108570</v>
      </c>
      <c r="O21" s="0" t="n">
        <v>1953745</v>
      </c>
      <c r="P21" s="0" t="n">
        <v>136647505</v>
      </c>
      <c r="Q21" s="0" t="n">
        <v>12494525</v>
      </c>
      <c r="R21" s="0" t="n">
        <v>3312140</v>
      </c>
      <c r="S21" s="0" t="n">
        <v>888345</v>
      </c>
      <c r="T21" s="0" t="n">
        <v>1927690</v>
      </c>
      <c r="U21" s="0" t="n">
        <v>421865</v>
      </c>
      <c r="W21" s="0" t="n">
        <f aca="false">C21/B21</f>
        <v>0.481005586592179</v>
      </c>
      <c r="X21" s="0" t="n">
        <f aca="false">S21/R21</f>
        <v>0.26820877136836</v>
      </c>
      <c r="Y21" s="2" t="n">
        <f aca="false">IF(W21&gt;X21,TRUE())</f>
        <v>1</v>
      </c>
      <c r="AA21" s="2" t="n">
        <f aca="false">G21/(G21+K21)</f>
        <v>0.620220900594732</v>
      </c>
      <c r="AB21" s="0" t="n">
        <f aca="false">U21/(U21+O21/10)</f>
        <v>0.683470516711908</v>
      </c>
      <c r="AC21" s="2" t="n">
        <f aca="false">IF(AA21&lt;AB21,TRUE())</f>
        <v>1</v>
      </c>
      <c r="AE21" s="0" t="n">
        <f aca="false">G21/F21</f>
        <v>0.353339787028074</v>
      </c>
      <c r="AF21" s="0" t="n">
        <f aca="false">U21/T21</f>
        <v>0.218844835009779</v>
      </c>
      <c r="AG21" s="2" t="n">
        <f aca="false">IF(AE21&lt;AF21,TRUE())</f>
        <v>0</v>
      </c>
      <c r="AI21" s="0" t="n">
        <f aca="false">K21/J21</f>
        <v>0.238782051282051</v>
      </c>
      <c r="AJ21" s="0" t="n">
        <f aca="false">Q21/P21</f>
        <v>0.0914361736791316</v>
      </c>
      <c r="AK21" s="2" t="n">
        <f aca="false">IF(AI21&gt;AJ21,TRUE())</f>
        <v>1</v>
      </c>
    </row>
    <row r="22" customFormat="false" ht="12.8" hidden="false" customHeight="false" outlineLevel="0" collapsed="false">
      <c r="A22" s="0" t="n">
        <v>80</v>
      </c>
      <c r="B22" s="0" t="n">
        <v>21785</v>
      </c>
      <c r="C22" s="0" t="n">
        <v>8305</v>
      </c>
      <c r="D22" s="0" t="n">
        <v>44700</v>
      </c>
      <c r="E22" s="0" t="n">
        <v>24100</v>
      </c>
      <c r="F22" s="0" t="n">
        <v>21625</v>
      </c>
      <c r="G22" s="0" t="n">
        <v>7815</v>
      </c>
      <c r="H22" s="0" t="n">
        <v>39800</v>
      </c>
      <c r="I22" s="0" t="n">
        <v>24800</v>
      </c>
      <c r="J22" s="0" t="s">
        <v>30</v>
      </c>
      <c r="K22" s="0" t="s">
        <v>30</v>
      </c>
      <c r="L22" s="0" t="s">
        <v>30</v>
      </c>
      <c r="M22" s="0" t="s">
        <v>30</v>
      </c>
      <c r="N22" s="0" t="n">
        <v>20895985</v>
      </c>
      <c r="O22" s="0" t="n">
        <v>2099970</v>
      </c>
      <c r="P22" s="0" t="n">
        <v>108831810</v>
      </c>
      <c r="Q22" s="0" t="n">
        <v>10159045</v>
      </c>
      <c r="R22" s="0" t="n">
        <v>2646940</v>
      </c>
      <c r="S22" s="0" t="n">
        <v>767615</v>
      </c>
      <c r="T22" s="0" t="n">
        <v>1750765</v>
      </c>
      <c r="U22" s="0" t="n">
        <v>396670</v>
      </c>
      <c r="W22" s="0" t="n">
        <f aca="false">C22/B22</f>
        <v>0.381225613954556</v>
      </c>
      <c r="X22" s="0" t="n">
        <f aca="false">S22/R22</f>
        <v>0.290000906707368</v>
      </c>
      <c r="Y22" s="2" t="n">
        <f aca="false">IF(W22&gt;X22,TRUE())</f>
        <v>1</v>
      </c>
      <c r="AA22" s="2"/>
      <c r="AB22" s="0" t="n">
        <f aca="false">U22/(U22+O22/10)</f>
        <v>0.653851289092698</v>
      </c>
      <c r="AC22" s="2" t="n">
        <f aca="false">IF(AA22&lt;AB22,TRUE())</f>
        <v>1</v>
      </c>
      <c r="AE22" s="0" t="n">
        <f aca="false">G22/F22</f>
        <v>0.361387283236994</v>
      </c>
      <c r="AF22" s="0" t="n">
        <f aca="false">U22/T22</f>
        <v>0.226569528177682</v>
      </c>
      <c r="AG22" s="2" t="n">
        <f aca="false">IF(AE22&lt;AF22,TRUE())</f>
        <v>0</v>
      </c>
      <c r="AI22" s="0" t="e">
        <f aca="false">K22/J22</f>
        <v>#VALUE!</v>
      </c>
      <c r="AJ22" s="0" t="n">
        <f aca="false">Q22/P22</f>
        <v>0.0933462835911669</v>
      </c>
      <c r="AK22" s="2" t="e">
        <f aca="false">IF(AI22&gt;AJ22,TRUE())</f>
        <v>#VALUE!</v>
      </c>
    </row>
    <row r="23" customFormat="false" ht="12.8" hidden="false" customHeight="false" outlineLevel="0" collapsed="false">
      <c r="A23" s="0" t="n">
        <v>81</v>
      </c>
      <c r="B23" s="0" t="n">
        <v>18665</v>
      </c>
      <c r="C23" s="0" t="n">
        <v>6155</v>
      </c>
      <c r="D23" s="0" t="n">
        <v>53200</v>
      </c>
      <c r="E23" s="0" t="n">
        <v>24200</v>
      </c>
      <c r="F23" s="0" t="s">
        <v>30</v>
      </c>
      <c r="G23" s="0" t="s">
        <v>30</v>
      </c>
      <c r="H23" s="0" t="s">
        <v>30</v>
      </c>
      <c r="I23" s="0" t="s">
        <v>30</v>
      </c>
      <c r="J23" s="0" t="s">
        <v>30</v>
      </c>
      <c r="K23" s="0" t="s">
        <v>30</v>
      </c>
      <c r="L23" s="0" t="s">
        <v>30</v>
      </c>
      <c r="M23" s="0" t="s">
        <v>30</v>
      </c>
      <c r="N23" s="0" t="n">
        <v>20895985</v>
      </c>
      <c r="O23" s="0" t="n">
        <v>2099970</v>
      </c>
      <c r="P23" s="0" t="n">
        <v>108831810</v>
      </c>
      <c r="Q23" s="0" t="n">
        <v>10159045</v>
      </c>
      <c r="R23" s="0" t="n">
        <v>2646940</v>
      </c>
      <c r="S23" s="0" t="n">
        <v>767615</v>
      </c>
      <c r="T23" s="0" t="n">
        <v>1750765</v>
      </c>
      <c r="U23" s="0" t="n">
        <v>396670</v>
      </c>
      <c r="W23" s="0" t="n">
        <f aca="false">C23/B23</f>
        <v>0.32976158585588</v>
      </c>
      <c r="X23" s="0" t="n">
        <f aca="false">S23/R23</f>
        <v>0.290000906707368</v>
      </c>
      <c r="Y23" s="2" t="n">
        <f aca="false">IF(W23&gt;X23,TRUE())</f>
        <v>1</v>
      </c>
      <c r="AA23" s="2"/>
      <c r="AB23" s="0" t="n">
        <f aca="false">U23/(U23+O23/10)</f>
        <v>0.653851289092698</v>
      </c>
      <c r="AC23" s="2" t="n">
        <f aca="false">IF(AA23&lt;AB23,TRUE())</f>
        <v>1</v>
      </c>
      <c r="AF23" s="0" t="n">
        <f aca="false">U23/T23</f>
        <v>0.226569528177682</v>
      </c>
      <c r="AG23" s="2" t="n">
        <f aca="false">IF(AE23&lt;AF23,TRUE())</f>
        <v>1</v>
      </c>
      <c r="AI23" s="0" t="e">
        <f aca="false">K23/J23</f>
        <v>#VALUE!</v>
      </c>
      <c r="AJ23" s="0" t="n">
        <f aca="false">Q23/P23</f>
        <v>0.0933462835911669</v>
      </c>
      <c r="AK23" s="2" t="e">
        <f aca="false">IF(AI23&gt;AJ23,TRUE())</f>
        <v>#VALUE!</v>
      </c>
    </row>
    <row r="24" customFormat="false" ht="12.8" hidden="false" customHeight="false" outlineLevel="0" collapsed="false">
      <c r="A24" s="0" t="n">
        <v>82</v>
      </c>
      <c r="B24" s="0" t="n">
        <v>24485</v>
      </c>
      <c r="C24" s="0" t="n">
        <v>9815</v>
      </c>
      <c r="D24" s="0" t="n">
        <v>43300</v>
      </c>
      <c r="E24" s="0" t="n">
        <v>23700</v>
      </c>
      <c r="F24" s="0" t="n">
        <v>26880</v>
      </c>
      <c r="G24" s="0" t="n">
        <v>9425</v>
      </c>
      <c r="H24" s="0" t="n">
        <v>41900</v>
      </c>
      <c r="I24" s="0" t="n">
        <v>25400</v>
      </c>
      <c r="J24" s="0" t="n">
        <v>10035</v>
      </c>
      <c r="K24" s="0" t="n">
        <v>2325</v>
      </c>
      <c r="L24" s="0" t="n">
        <v>59600</v>
      </c>
      <c r="M24" s="0" t="n">
        <v>31300</v>
      </c>
      <c r="N24" s="0" t="n">
        <v>20895985</v>
      </c>
      <c r="O24" s="0" t="n">
        <v>2099970</v>
      </c>
      <c r="P24" s="0" t="n">
        <v>108831810</v>
      </c>
      <c r="Q24" s="0" t="n">
        <v>10159045</v>
      </c>
      <c r="R24" s="0" t="n">
        <v>2646940</v>
      </c>
      <c r="S24" s="0" t="n">
        <v>767615</v>
      </c>
      <c r="T24" s="0" t="n">
        <v>1750765</v>
      </c>
      <c r="U24" s="0" t="n">
        <v>396670</v>
      </c>
      <c r="W24" s="0" t="n">
        <f aca="false">C24/B24</f>
        <v>0.400857667959976</v>
      </c>
      <c r="X24" s="0" t="n">
        <f aca="false">S24/R24</f>
        <v>0.290000906707368</v>
      </c>
      <c r="Y24" s="2" t="n">
        <f aca="false">IF(W24&gt;X24,TRUE())</f>
        <v>1</v>
      </c>
      <c r="AA24" s="2" t="n">
        <f aca="false">G24/(G24+K24)</f>
        <v>0.802127659574468</v>
      </c>
      <c r="AB24" s="0" t="n">
        <f aca="false">U24/(U24+O24/10)</f>
        <v>0.653851289092698</v>
      </c>
      <c r="AC24" s="2" t="n">
        <f aca="false">IF(AA24&lt;AB24,TRUE())</f>
        <v>0</v>
      </c>
      <c r="AE24" s="0" t="n">
        <f aca="false">G24/F24</f>
        <v>0.35063244047619</v>
      </c>
      <c r="AF24" s="0" t="n">
        <f aca="false">U24/T24</f>
        <v>0.226569528177682</v>
      </c>
      <c r="AG24" s="2" t="n">
        <f aca="false">IF(AE24&lt;AF24,TRUE())</f>
        <v>0</v>
      </c>
      <c r="AI24" s="0" t="n">
        <f aca="false">K24/J24</f>
        <v>0.23168908819133</v>
      </c>
      <c r="AJ24" s="0" t="n">
        <f aca="false">Q24/P24</f>
        <v>0.0933462835911669</v>
      </c>
      <c r="AK24" s="2" t="n">
        <f aca="false">IF(AI24&gt;AJ24,TRUE())</f>
        <v>1</v>
      </c>
    </row>
    <row r="25" customFormat="false" ht="12.8" hidden="false" customHeight="false" outlineLevel="0" collapsed="false">
      <c r="A25" s="0" t="n">
        <v>138</v>
      </c>
      <c r="B25" s="0" t="n">
        <v>26525</v>
      </c>
      <c r="C25" s="0" t="n">
        <v>8740</v>
      </c>
      <c r="D25" s="0" t="n">
        <v>47400</v>
      </c>
      <c r="E25" s="0" t="n">
        <v>16900</v>
      </c>
      <c r="F25" s="0" t="n">
        <v>24025</v>
      </c>
      <c r="G25" s="0" t="n">
        <v>6385</v>
      </c>
      <c r="H25" s="0" t="n">
        <v>50000</v>
      </c>
      <c r="I25" s="0" t="n">
        <v>21200</v>
      </c>
      <c r="J25" s="0" t="n">
        <v>7965</v>
      </c>
      <c r="K25" s="0" t="n">
        <v>1275</v>
      </c>
      <c r="L25" s="0" t="n">
        <v>76500</v>
      </c>
      <c r="M25" s="0" t="n">
        <v>25100</v>
      </c>
      <c r="N25" s="0" t="n">
        <v>59944920</v>
      </c>
      <c r="O25" s="0" t="n">
        <v>9645965</v>
      </c>
      <c r="P25" s="0" t="n">
        <v>326061335</v>
      </c>
      <c r="Q25" s="0" t="n">
        <v>46806925</v>
      </c>
      <c r="R25" s="0" t="n">
        <v>7905985</v>
      </c>
      <c r="S25" s="0" t="n">
        <v>3071260</v>
      </c>
      <c r="T25" s="0" t="n">
        <v>5130390</v>
      </c>
      <c r="U25" s="0" t="n">
        <v>1650535</v>
      </c>
      <c r="W25" s="0" t="n">
        <f aca="false">C25/B25</f>
        <v>0.329500471253534</v>
      </c>
      <c r="X25" s="0" t="n">
        <f aca="false">S25/R25</f>
        <v>0.388472783593695</v>
      </c>
      <c r="Y25" s="2" t="n">
        <f aca="false">IF(W25&gt;X25,TRUE())</f>
        <v>0</v>
      </c>
      <c r="AA25" s="2" t="n">
        <f aca="false">G25/(G25+K25)</f>
        <v>0.83355091383812</v>
      </c>
      <c r="AB25" s="0" t="n">
        <f aca="false">U25/(U25+O25/10)</f>
        <v>0.631147993896292</v>
      </c>
      <c r="AC25" s="2" t="n">
        <f aca="false">IF(AA25&lt;AB25,TRUE())</f>
        <v>0</v>
      </c>
      <c r="AE25" s="0" t="n">
        <f aca="false">G25/F25</f>
        <v>0.26576482830385</v>
      </c>
      <c r="AF25" s="0" t="n">
        <f aca="false">U25/T25</f>
        <v>0.321717257362501</v>
      </c>
      <c r="AG25" s="2" t="n">
        <f aca="false">IF(AE25&lt;AF25,TRUE())</f>
        <v>1</v>
      </c>
      <c r="AI25" s="0" t="n">
        <f aca="false">K25/J25</f>
        <v>0.160075329566855</v>
      </c>
      <c r="AJ25" s="0" t="n">
        <f aca="false">Q25/P25</f>
        <v>0.143552515970653</v>
      </c>
      <c r="AK25" s="2" t="n">
        <f aca="false">IF(AI25&gt;AJ25,TRUE())</f>
        <v>1</v>
      </c>
    </row>
    <row r="26" customFormat="false" ht="12.8" hidden="false" customHeight="false" outlineLevel="0" collapsed="false">
      <c r="A26" s="0" t="n">
        <v>141</v>
      </c>
      <c r="B26" s="0" t="n">
        <v>13455</v>
      </c>
      <c r="C26" s="0" t="n">
        <v>4390</v>
      </c>
      <c r="D26" s="0" t="n">
        <v>46200</v>
      </c>
      <c r="E26" s="0" t="n">
        <v>17500</v>
      </c>
      <c r="F26" s="0" t="n">
        <v>10345</v>
      </c>
      <c r="G26" s="0" t="n">
        <v>2790</v>
      </c>
      <c r="H26" s="0" t="n">
        <v>47600</v>
      </c>
      <c r="I26" s="0" t="n">
        <v>20200</v>
      </c>
      <c r="J26" s="0" t="n">
        <v>5490</v>
      </c>
      <c r="K26" s="0" t="n">
        <v>855</v>
      </c>
      <c r="L26" s="0" t="n">
        <v>93900</v>
      </c>
      <c r="M26" s="0" t="n">
        <v>28600</v>
      </c>
      <c r="N26" s="0" t="n">
        <v>59944920</v>
      </c>
      <c r="O26" s="0" t="n">
        <v>9645965</v>
      </c>
      <c r="P26" s="0" t="n">
        <v>326061335</v>
      </c>
      <c r="Q26" s="0" t="n">
        <v>46806925</v>
      </c>
      <c r="R26" s="0" t="n">
        <v>7905985</v>
      </c>
      <c r="S26" s="0" t="n">
        <v>3071260</v>
      </c>
      <c r="T26" s="0" t="n">
        <v>5130390</v>
      </c>
      <c r="U26" s="0" t="n">
        <v>1650535</v>
      </c>
      <c r="W26" s="0" t="n">
        <f aca="false">C26/B26</f>
        <v>0.32627276105537</v>
      </c>
      <c r="X26" s="0" t="n">
        <f aca="false">S26/R26</f>
        <v>0.388472783593695</v>
      </c>
      <c r="Y26" s="2" t="n">
        <f aca="false">IF(W26&gt;X26,TRUE())</f>
        <v>0</v>
      </c>
      <c r="AA26" s="2" t="n">
        <f aca="false">G26/(G26+K26)</f>
        <v>0.765432098765432</v>
      </c>
      <c r="AB26" s="0" t="n">
        <f aca="false">U26/(U26+O26/10)</f>
        <v>0.631147993896292</v>
      </c>
      <c r="AC26" s="2" t="n">
        <f aca="false">IF(AA26&lt;AB26,TRUE())</f>
        <v>0</v>
      </c>
      <c r="AE26" s="0" t="n">
        <f aca="false">G26/F26</f>
        <v>0.269695505074915</v>
      </c>
      <c r="AF26" s="0" t="n">
        <f aca="false">U26/T26</f>
        <v>0.321717257362501</v>
      </c>
      <c r="AG26" s="2" t="n">
        <f aca="false">IF(AE26&lt;AF26,TRUE())</f>
        <v>1</v>
      </c>
      <c r="AI26" s="0" t="n">
        <f aca="false">K26/J26</f>
        <v>0.155737704918033</v>
      </c>
      <c r="AJ26" s="0" t="n">
        <f aca="false">Q26/P26</f>
        <v>0.143552515970653</v>
      </c>
      <c r="AK26" s="2" t="n">
        <f aca="false">IF(AI26&gt;AJ26,TRUE())</f>
        <v>1</v>
      </c>
    </row>
    <row r="27" customFormat="false" ht="12.8" hidden="false" customHeight="false" outlineLevel="0" collapsed="false">
      <c r="A27" s="0" t="n">
        <v>144</v>
      </c>
      <c r="B27" s="0" t="n">
        <v>11580</v>
      </c>
      <c r="C27" s="0" t="n">
        <v>3585</v>
      </c>
      <c r="D27" s="0" t="n">
        <v>57700</v>
      </c>
      <c r="E27" s="0" t="n">
        <v>22800</v>
      </c>
      <c r="F27" s="0" t="n">
        <v>12200</v>
      </c>
      <c r="G27" s="0" t="n">
        <v>4065</v>
      </c>
      <c r="H27" s="0" t="n">
        <v>45100</v>
      </c>
      <c r="I27" s="0" t="n">
        <v>24100</v>
      </c>
      <c r="J27" s="0" t="n">
        <v>4250</v>
      </c>
      <c r="K27" s="0" t="n">
        <v>1325</v>
      </c>
      <c r="L27" s="0" t="n">
        <v>49600</v>
      </c>
      <c r="M27" s="0" t="n">
        <v>24600</v>
      </c>
      <c r="N27" s="0" t="n">
        <v>54203300</v>
      </c>
      <c r="O27" s="0" t="n">
        <v>10905830</v>
      </c>
      <c r="P27" s="0" t="n">
        <v>75083075</v>
      </c>
      <c r="Q27" s="0" t="n">
        <v>15243105</v>
      </c>
      <c r="R27" s="0" t="n">
        <v>5573115</v>
      </c>
      <c r="S27" s="0" t="n">
        <v>2444395</v>
      </c>
      <c r="T27" s="0" t="n">
        <v>4200305</v>
      </c>
      <c r="U27" s="0" t="n">
        <v>1465110</v>
      </c>
      <c r="W27" s="0" t="n">
        <f aca="false">C27/B27</f>
        <v>0.309585492227979</v>
      </c>
      <c r="X27" s="0" t="n">
        <f aca="false">S27/R27</f>
        <v>0.438604801802941</v>
      </c>
      <c r="Y27" s="2" t="n">
        <f aca="false">IF(W27&gt;X27,TRUE())</f>
        <v>0</v>
      </c>
      <c r="AA27" s="2" t="n">
        <f aca="false">G27/(G27+K27)</f>
        <v>0.75417439703154</v>
      </c>
      <c r="AB27" s="0" t="n">
        <f aca="false">U27/(U27+O27/10)</f>
        <v>0.573273080921691</v>
      </c>
      <c r="AC27" s="2" t="n">
        <f aca="false">IF(AA27&lt;AB27,TRUE())</f>
        <v>0</v>
      </c>
      <c r="AE27" s="0" t="n">
        <f aca="false">G27/F27</f>
        <v>0.333196721311475</v>
      </c>
      <c r="AF27" s="0" t="n">
        <f aca="false">U27/T27</f>
        <v>0.348810384007828</v>
      </c>
      <c r="AG27" s="2" t="n">
        <f aca="false">IF(AE27&lt;AF27,TRUE())</f>
        <v>1</v>
      </c>
      <c r="AI27" s="0" t="n">
        <f aca="false">K27/J27</f>
        <v>0.311764705882353</v>
      </c>
      <c r="AJ27" s="0" t="n">
        <f aca="false">Q27/P27</f>
        <v>0.203016525362074</v>
      </c>
      <c r="AK27" s="2" t="n">
        <f aca="false">IF(AI27&gt;AJ27,TRUE())</f>
        <v>1</v>
      </c>
    </row>
    <row r="28" customFormat="false" ht="12.8" hidden="false" customHeight="false" outlineLevel="0" collapsed="false">
      <c r="A28" s="0" t="n">
        <v>145</v>
      </c>
      <c r="B28" s="0" t="n">
        <v>12175</v>
      </c>
      <c r="C28" s="0" t="n">
        <v>3915</v>
      </c>
      <c r="D28" s="0" t="n">
        <v>40500</v>
      </c>
      <c r="E28" s="0" t="n">
        <v>15600</v>
      </c>
      <c r="F28" s="0" t="n">
        <v>15370</v>
      </c>
      <c r="G28" s="0" t="n">
        <v>5785</v>
      </c>
      <c r="H28" s="0" t="n">
        <v>30600</v>
      </c>
      <c r="I28" s="0" t="n">
        <v>15500</v>
      </c>
      <c r="J28" s="0" t="s">
        <v>30</v>
      </c>
      <c r="K28" s="0" t="s">
        <v>30</v>
      </c>
      <c r="L28" s="0" t="s">
        <v>30</v>
      </c>
      <c r="M28" s="0" t="s">
        <v>30</v>
      </c>
      <c r="N28" s="0" t="n">
        <v>60786005</v>
      </c>
      <c r="O28" s="0" t="n">
        <v>10557890</v>
      </c>
      <c r="P28" s="0" t="n">
        <v>276094705</v>
      </c>
      <c r="Q28" s="0" t="n">
        <v>43613580</v>
      </c>
      <c r="R28" s="0" t="n">
        <v>7483820</v>
      </c>
      <c r="S28" s="0" t="n">
        <v>3026145</v>
      </c>
      <c r="T28" s="0" t="n">
        <v>4966665</v>
      </c>
      <c r="U28" s="0" t="n">
        <v>1616515</v>
      </c>
      <c r="W28" s="0" t="n">
        <f aca="false">C28/B28</f>
        <v>0.321560574948665</v>
      </c>
      <c r="X28" s="0" t="n">
        <f aca="false">S28/R28</f>
        <v>0.404358335716252</v>
      </c>
      <c r="Y28" s="2" t="n">
        <f aca="false">IF(W28&gt;X28,TRUE())</f>
        <v>0</v>
      </c>
      <c r="AA28" s="2"/>
      <c r="AB28" s="0" t="n">
        <f aca="false">U28/(U28+O28/10)</f>
        <v>0.604914336093498</v>
      </c>
      <c r="AC28" s="2" t="n">
        <f aca="false">IF(AA28&lt;AB28,TRUE())</f>
        <v>1</v>
      </c>
      <c r="AE28" s="0" t="n">
        <f aca="false">G28/F28</f>
        <v>0.376382563435263</v>
      </c>
      <c r="AF28" s="0" t="n">
        <f aca="false">U28/T28</f>
        <v>0.32547292801105</v>
      </c>
      <c r="AG28" s="2" t="n">
        <f aca="false">IF(AE28&lt;AF28,TRUE())</f>
        <v>0</v>
      </c>
      <c r="AI28" s="0" t="e">
        <f aca="false">K28/J28</f>
        <v>#VALUE!</v>
      </c>
      <c r="AJ28" s="0" t="n">
        <f aca="false">Q28/P28</f>
        <v>0.157966013871943</v>
      </c>
      <c r="AK28" s="2" t="e">
        <f aca="false">IF(AI28&gt;AJ28,TRUE())</f>
        <v>#VALUE!</v>
      </c>
    </row>
    <row r="29" customFormat="false" ht="12.8" hidden="false" customHeight="false" outlineLevel="0" collapsed="false">
      <c r="A29" s="0" t="n">
        <v>148</v>
      </c>
      <c r="B29" s="0" t="n">
        <v>4990</v>
      </c>
      <c r="C29" s="0" t="n">
        <v>1215</v>
      </c>
      <c r="D29" s="0" t="n">
        <v>47500</v>
      </c>
      <c r="E29" s="0" t="n">
        <v>21000</v>
      </c>
      <c r="F29" s="0" t="n">
        <v>11165</v>
      </c>
      <c r="G29" s="0" t="n">
        <v>1630</v>
      </c>
      <c r="H29" s="0" t="n">
        <v>65000</v>
      </c>
      <c r="I29" s="0" t="n">
        <v>28200</v>
      </c>
      <c r="J29" s="0" t="s">
        <v>30</v>
      </c>
      <c r="K29" s="0" t="s">
        <v>30</v>
      </c>
      <c r="L29" s="0" t="s">
        <v>30</v>
      </c>
      <c r="M29" s="0" t="s">
        <v>30</v>
      </c>
      <c r="N29" s="0" t="n">
        <v>60786005</v>
      </c>
      <c r="O29" s="0" t="n">
        <v>10557890</v>
      </c>
      <c r="P29" s="0" t="n">
        <v>276094705</v>
      </c>
      <c r="Q29" s="0" t="n">
        <v>43613580</v>
      </c>
      <c r="R29" s="0" t="n">
        <v>7483820</v>
      </c>
      <c r="S29" s="0" t="n">
        <v>3026145</v>
      </c>
      <c r="T29" s="0" t="n">
        <v>4966665</v>
      </c>
      <c r="U29" s="0" t="n">
        <v>1616515</v>
      </c>
      <c r="W29" s="0" t="n">
        <f aca="false">C29/B29</f>
        <v>0.243486973947896</v>
      </c>
      <c r="X29" s="0" t="n">
        <f aca="false">S29/R29</f>
        <v>0.404358335716252</v>
      </c>
      <c r="Y29" s="2" t="n">
        <f aca="false">IF(W29&gt;X29,TRUE())</f>
        <v>0</v>
      </c>
      <c r="AA29" s="2"/>
      <c r="AB29" s="0" t="n">
        <f aca="false">U29/(U29+O29/10)</f>
        <v>0.604914336093498</v>
      </c>
      <c r="AC29" s="2" t="n">
        <f aca="false">IF(AA29&lt;AB29,TRUE())</f>
        <v>1</v>
      </c>
      <c r="AE29" s="0" t="n">
        <f aca="false">G29/F29</f>
        <v>0.145991939095387</v>
      </c>
      <c r="AF29" s="0" t="n">
        <f aca="false">U29/T29</f>
        <v>0.32547292801105</v>
      </c>
      <c r="AG29" s="2" t="n">
        <f aca="false">IF(AE29&lt;AF29,TRUE())</f>
        <v>1</v>
      </c>
      <c r="AI29" s="0" t="e">
        <f aca="false">K29/J29</f>
        <v>#VALUE!</v>
      </c>
      <c r="AJ29" s="0" t="n">
        <f aca="false">Q29/P29</f>
        <v>0.157966013871943</v>
      </c>
      <c r="AK29" s="2" t="e">
        <f aca="false">IF(AI29&gt;AJ29,TRUE())</f>
        <v>#VALUE!</v>
      </c>
    </row>
    <row r="30" customFormat="false" ht="12.8" hidden="false" customHeight="false" outlineLevel="0" collapsed="false">
      <c r="A30" s="0" t="n">
        <v>186</v>
      </c>
      <c r="B30" s="0" t="n">
        <v>16650</v>
      </c>
      <c r="C30" s="0" t="n">
        <v>8305</v>
      </c>
      <c r="D30" s="0" t="n">
        <v>28600</v>
      </c>
      <c r="E30" s="0" t="n">
        <v>12700</v>
      </c>
      <c r="F30" s="0" t="n">
        <v>24390</v>
      </c>
      <c r="G30" s="0" t="n">
        <v>10215</v>
      </c>
      <c r="H30" s="0" t="n">
        <v>32100</v>
      </c>
      <c r="I30" s="0" t="n">
        <v>14100</v>
      </c>
      <c r="J30" s="0" t="n">
        <v>10145</v>
      </c>
      <c r="K30" s="0" t="n">
        <v>2280</v>
      </c>
      <c r="L30" s="0" t="n">
        <v>51100</v>
      </c>
      <c r="M30" s="0" t="n">
        <v>20300</v>
      </c>
      <c r="N30" s="0" t="n">
        <v>59944920</v>
      </c>
      <c r="O30" s="0" t="n">
        <v>9645965</v>
      </c>
      <c r="P30" s="0" t="n">
        <v>326061335</v>
      </c>
      <c r="Q30" s="0" t="n">
        <v>46806925</v>
      </c>
      <c r="R30" s="0" t="n">
        <v>7905985</v>
      </c>
      <c r="S30" s="0" t="n">
        <v>3071260</v>
      </c>
      <c r="T30" s="0" t="n">
        <v>5130390</v>
      </c>
      <c r="U30" s="0" t="n">
        <v>1650535</v>
      </c>
      <c r="W30" s="0" t="n">
        <f aca="false">C30/B30</f>
        <v>0.498798798798799</v>
      </c>
      <c r="X30" s="0" t="n">
        <f aca="false">S30/R30</f>
        <v>0.388472783593695</v>
      </c>
      <c r="Y30" s="2" t="n">
        <f aca="false">IF(W30&gt;X30,TRUE())</f>
        <v>1</v>
      </c>
      <c r="AA30" s="2" t="n">
        <f aca="false">G30/(G30+K30)</f>
        <v>0.817527010804322</v>
      </c>
      <c r="AB30" s="0" t="n">
        <f aca="false">U30/(U30+O30/10)</f>
        <v>0.631147993896292</v>
      </c>
      <c r="AC30" s="2" t="n">
        <f aca="false">IF(AA30&lt;AB30,TRUE())</f>
        <v>0</v>
      </c>
      <c r="AE30" s="0" t="n">
        <f aca="false">G30/F30</f>
        <v>0.418819188191882</v>
      </c>
      <c r="AF30" s="0" t="n">
        <f aca="false">U30/T30</f>
        <v>0.321717257362501</v>
      </c>
      <c r="AG30" s="2" t="n">
        <f aca="false">IF(AE30&lt;AF30,TRUE())</f>
        <v>0</v>
      </c>
      <c r="AI30" s="0" t="n">
        <f aca="false">K30/J30</f>
        <v>0.224741251848201</v>
      </c>
      <c r="AJ30" s="0" t="n">
        <f aca="false">Q30/P30</f>
        <v>0.143552515970653</v>
      </c>
      <c r="AK30" s="2" t="n">
        <f aca="false">IF(AI30&gt;AJ30,TRUE())</f>
        <v>1</v>
      </c>
    </row>
    <row r="31" customFormat="false" ht="12.8" hidden="false" customHeight="false" outlineLevel="0" collapsed="false">
      <c r="A31" s="0" t="n">
        <v>197</v>
      </c>
      <c r="B31" s="0" t="n">
        <v>8800</v>
      </c>
      <c r="C31" s="0" t="n">
        <v>1775</v>
      </c>
      <c r="D31" s="0" t="n">
        <v>56700</v>
      </c>
      <c r="E31" s="0" t="n">
        <v>22600</v>
      </c>
      <c r="F31" s="0" t="n">
        <v>11500</v>
      </c>
      <c r="G31" s="0" t="n">
        <v>1695</v>
      </c>
      <c r="H31" s="0" t="n">
        <v>64000</v>
      </c>
      <c r="I31" s="0" t="n">
        <v>25800</v>
      </c>
      <c r="J31" s="0" t="s">
        <v>30</v>
      </c>
      <c r="K31" s="0" t="s">
        <v>30</v>
      </c>
      <c r="L31" s="0" t="s">
        <v>30</v>
      </c>
      <c r="M31" s="0" t="s">
        <v>30</v>
      </c>
      <c r="N31" s="0" t="n">
        <v>60638230</v>
      </c>
      <c r="O31" s="0" t="n">
        <v>10218805</v>
      </c>
      <c r="P31" s="0" t="n">
        <v>296681415</v>
      </c>
      <c r="Q31" s="0" t="n">
        <v>44800820</v>
      </c>
      <c r="R31" s="0" t="n">
        <v>7702935</v>
      </c>
      <c r="S31" s="0" t="n">
        <v>3063360</v>
      </c>
      <c r="T31" s="0" t="n">
        <v>5001415</v>
      </c>
      <c r="U31" s="0" t="n">
        <v>1613950</v>
      </c>
      <c r="W31" s="0" t="n">
        <f aca="false">C31/B31</f>
        <v>0.201704545454545</v>
      </c>
      <c r="X31" s="0" t="n">
        <f aca="false">S31/R31</f>
        <v>0.397687375007059</v>
      </c>
      <c r="Y31" s="2" t="n">
        <f aca="false">IF(W31&gt;X31,TRUE())</f>
        <v>0</v>
      </c>
      <c r="AA31" s="2"/>
      <c r="AB31" s="0" t="n">
        <f aca="false">U31/(U31+O31/10)</f>
        <v>0.612311755251334</v>
      </c>
      <c r="AC31" s="2" t="n">
        <f aca="false">IF(AA31&lt;AB31,TRUE())</f>
        <v>1</v>
      </c>
      <c r="AE31" s="0" t="n">
        <f aca="false">G31/F31</f>
        <v>0.147391304347826</v>
      </c>
      <c r="AF31" s="0" t="n">
        <f aca="false">U31/T31</f>
        <v>0.322698676274614</v>
      </c>
      <c r="AG31" s="2" t="n">
        <f aca="false">IF(AE31&lt;AF31,TRUE())</f>
        <v>1</v>
      </c>
      <c r="AI31" s="0" t="e">
        <f aca="false">K31/J31</f>
        <v>#VALUE!</v>
      </c>
      <c r="AJ31" s="0" t="n">
        <f aca="false">Q31/P31</f>
        <v>0.151006492941258</v>
      </c>
      <c r="AK31" s="2" t="e">
        <f aca="false">IF(AI31&gt;AJ31,TRUE())</f>
        <v>#VALUE!</v>
      </c>
    </row>
    <row r="32" customFormat="false" ht="12.8" hidden="false" customHeight="false" outlineLevel="0" collapsed="false">
      <c r="A32" s="0" t="n">
        <v>224</v>
      </c>
      <c r="B32" s="0" t="n">
        <v>2755</v>
      </c>
      <c r="C32" s="0" t="n">
        <v>1025</v>
      </c>
      <c r="D32" s="0" t="n">
        <v>61800</v>
      </c>
      <c r="E32" s="0" t="n">
        <v>23300</v>
      </c>
      <c r="F32" s="0" t="s">
        <v>30</v>
      </c>
      <c r="G32" s="0" t="s">
        <v>30</v>
      </c>
      <c r="H32" s="0" t="s">
        <v>30</v>
      </c>
      <c r="I32" s="0" t="s">
        <v>30</v>
      </c>
      <c r="J32" s="0" t="s">
        <v>30</v>
      </c>
      <c r="K32" s="0" t="s">
        <v>30</v>
      </c>
      <c r="L32" s="0" t="s">
        <v>30</v>
      </c>
      <c r="M32" s="0" t="s">
        <v>30</v>
      </c>
      <c r="N32" s="0" t="n">
        <v>48877455</v>
      </c>
      <c r="O32" s="0" t="n">
        <v>9822610</v>
      </c>
      <c r="P32" s="0" t="n">
        <v>59917805</v>
      </c>
      <c r="Q32" s="0" t="n">
        <v>12015845</v>
      </c>
      <c r="R32" s="0" t="n">
        <v>5448170</v>
      </c>
      <c r="S32" s="0" t="n">
        <v>2377455</v>
      </c>
      <c r="T32" s="0" t="n">
        <v>4275495</v>
      </c>
      <c r="U32" s="0" t="n">
        <v>1447935</v>
      </c>
      <c r="W32" s="0" t="n">
        <f aca="false">C32/B32</f>
        <v>0.372050816696915</v>
      </c>
      <c r="X32" s="0" t="n">
        <f aca="false">S32/R32</f>
        <v>0.436376801751781</v>
      </c>
      <c r="Y32" s="2" t="n">
        <f aca="false">IF(W32&gt;X32,TRUE())</f>
        <v>0</v>
      </c>
      <c r="AA32" s="2"/>
      <c r="AB32" s="0" t="n">
        <f aca="false">U32/(U32+O32/10)</f>
        <v>0.595809967591091</v>
      </c>
      <c r="AC32" s="2" t="n">
        <f aca="false">IF(AA32&lt;AB32,TRUE())</f>
        <v>1</v>
      </c>
      <c r="AF32" s="0" t="n">
        <f aca="false">U32/T32</f>
        <v>0.338659032462908</v>
      </c>
      <c r="AG32" s="2" t="n">
        <f aca="false">IF(AE32&lt;AF32,TRUE())</f>
        <v>1</v>
      </c>
      <c r="AI32" s="0" t="e">
        <f aca="false">K32/J32</f>
        <v>#VALUE!</v>
      </c>
      <c r="AJ32" s="0" t="n">
        <f aca="false">Q32/P32</f>
        <v>0.200538804784321</v>
      </c>
      <c r="AK32" s="2" t="e">
        <f aca="false">IF(AI32&gt;AJ32,TRUE())</f>
        <v>#VALUE!</v>
      </c>
    </row>
    <row r="33" customFormat="false" ht="12.8" hidden="false" customHeight="false" outlineLevel="0" collapsed="false">
      <c r="A33" s="0" t="n">
        <v>266</v>
      </c>
      <c r="B33" s="0" t="n">
        <v>18330</v>
      </c>
      <c r="C33" s="0" t="n">
        <v>6525</v>
      </c>
      <c r="D33" s="0" t="n">
        <v>43200</v>
      </c>
      <c r="E33" s="0" t="n">
        <v>16600</v>
      </c>
      <c r="F33" s="0" t="n">
        <v>16165</v>
      </c>
      <c r="G33" s="0" t="n">
        <v>4645</v>
      </c>
      <c r="H33" s="0" t="n">
        <v>44800</v>
      </c>
      <c r="I33" s="0" t="n">
        <v>18800</v>
      </c>
      <c r="J33" s="0" t="n">
        <v>10195</v>
      </c>
      <c r="K33" s="0" t="n">
        <v>1690</v>
      </c>
      <c r="L33" s="0" t="n">
        <v>78700</v>
      </c>
      <c r="M33" s="0" t="n">
        <v>27000</v>
      </c>
      <c r="N33" s="0" t="n">
        <v>59944920</v>
      </c>
      <c r="O33" s="0" t="n">
        <v>9645965</v>
      </c>
      <c r="P33" s="0" t="n">
        <v>326061335</v>
      </c>
      <c r="Q33" s="0" t="n">
        <v>46806925</v>
      </c>
      <c r="R33" s="0" t="n">
        <v>7905985</v>
      </c>
      <c r="S33" s="0" t="n">
        <v>3071260</v>
      </c>
      <c r="T33" s="0" t="n">
        <v>5130390</v>
      </c>
      <c r="U33" s="0" t="n">
        <v>1650535</v>
      </c>
      <c r="W33" s="0" t="n">
        <f aca="false">C33/B33</f>
        <v>0.355973813420622</v>
      </c>
      <c r="X33" s="0" t="n">
        <f aca="false">S33/R33</f>
        <v>0.388472783593695</v>
      </c>
      <c r="Y33" s="2" t="n">
        <f aca="false">IF(W33&gt;X33,TRUE())</f>
        <v>0</v>
      </c>
      <c r="AA33" s="2" t="n">
        <f aca="false">G33/(G33+K33)</f>
        <v>0.733228097868982</v>
      </c>
      <c r="AB33" s="0" t="n">
        <f aca="false">U33/(U33+O33/10)</f>
        <v>0.631147993896292</v>
      </c>
      <c r="AC33" s="2" t="n">
        <f aca="false">IF(AA33&lt;AB33,TRUE())</f>
        <v>0</v>
      </c>
      <c r="AE33" s="0" t="n">
        <f aca="false">G33/F33</f>
        <v>0.287349211258893</v>
      </c>
      <c r="AF33" s="0" t="n">
        <f aca="false">U33/T33</f>
        <v>0.321717257362501</v>
      </c>
      <c r="AG33" s="2" t="n">
        <f aca="false">IF(AE33&lt;AF33,TRUE())</f>
        <v>1</v>
      </c>
      <c r="AI33" s="0" t="n">
        <f aca="false">K33/J33</f>
        <v>0.165767533104463</v>
      </c>
      <c r="AJ33" s="0" t="n">
        <f aca="false">Q33/P33</f>
        <v>0.143552515970653</v>
      </c>
      <c r="AK33" s="2" t="n">
        <f aca="false">IF(AI33&gt;AJ33,TRUE())</f>
        <v>1</v>
      </c>
    </row>
    <row r="34" customFormat="false" ht="12.8" hidden="false" customHeight="false" outlineLevel="0" collapsed="false">
      <c r="A34" s="0" t="n">
        <v>267</v>
      </c>
      <c r="B34" s="0" t="n">
        <v>9505</v>
      </c>
      <c r="C34" s="0" t="n">
        <v>2670</v>
      </c>
      <c r="D34" s="0" t="n">
        <v>61300</v>
      </c>
      <c r="E34" s="0" t="n">
        <v>24000</v>
      </c>
      <c r="F34" s="0" t="s">
        <v>30</v>
      </c>
      <c r="G34" s="0" t="s">
        <v>30</v>
      </c>
      <c r="H34" s="0" t="s">
        <v>30</v>
      </c>
      <c r="I34" s="0" t="s">
        <v>30</v>
      </c>
      <c r="J34" s="0" t="s">
        <v>30</v>
      </c>
      <c r="K34" s="0" t="s">
        <v>30</v>
      </c>
      <c r="L34" s="0" t="s">
        <v>30</v>
      </c>
      <c r="M34" s="0" t="s">
        <v>30</v>
      </c>
      <c r="N34" s="0" t="n">
        <v>59635950</v>
      </c>
      <c r="O34" s="0" t="n">
        <v>10898230</v>
      </c>
      <c r="P34" s="0" t="n">
        <v>226442685</v>
      </c>
      <c r="Q34" s="0" t="n">
        <v>37677010</v>
      </c>
      <c r="R34" s="0" t="n">
        <v>6758105</v>
      </c>
      <c r="S34" s="0" t="n">
        <v>2811905</v>
      </c>
      <c r="T34" s="0" t="n">
        <v>4720735</v>
      </c>
      <c r="U34" s="0" t="n">
        <v>1577815</v>
      </c>
      <c r="W34" s="0" t="n">
        <f aca="false">C34/B34</f>
        <v>0.280904786954235</v>
      </c>
      <c r="X34" s="0" t="n">
        <f aca="false">S34/R34</f>
        <v>0.416078915613179</v>
      </c>
      <c r="Y34" s="2" t="n">
        <f aca="false">IF(W34&gt;X34,TRUE())</f>
        <v>0</v>
      </c>
      <c r="AA34" s="2"/>
      <c r="AB34" s="0" t="n">
        <f aca="false">U34/(U34+O34/10)</f>
        <v>0.591465183806798</v>
      </c>
      <c r="AC34" s="2" t="n">
        <f aca="false">IF(AA34&lt;AB34,TRUE())</f>
        <v>1</v>
      </c>
      <c r="AF34" s="0" t="n">
        <f aca="false">U34/T34</f>
        <v>0.334230792450752</v>
      </c>
      <c r="AG34" s="2" t="n">
        <f aca="false">IF(AE34&lt;AF34,TRUE())</f>
        <v>1</v>
      </c>
      <c r="AI34" s="0" t="e">
        <f aca="false">K34/J34</f>
        <v>#VALUE!</v>
      </c>
      <c r="AJ34" s="0" t="n">
        <f aca="false">Q34/P34</f>
        <v>0.166386518513504</v>
      </c>
      <c r="AK34" s="2" t="e">
        <f aca="false">IF(AI34&gt;AJ34,TRUE())</f>
        <v>#VALUE!</v>
      </c>
    </row>
    <row r="35" customFormat="false" ht="12.8" hidden="false" customHeight="false" outlineLevel="0" collapsed="false">
      <c r="A35" s="0" t="n">
        <v>286</v>
      </c>
      <c r="B35" s="0" t="n">
        <v>22555</v>
      </c>
      <c r="C35" s="0" t="n">
        <v>10325</v>
      </c>
      <c r="D35" s="0" t="n">
        <v>31700</v>
      </c>
      <c r="E35" s="0" t="n">
        <v>12100</v>
      </c>
      <c r="F35" s="0" t="n">
        <v>23420</v>
      </c>
      <c r="G35" s="0" t="n">
        <v>8930</v>
      </c>
      <c r="H35" s="0" t="n">
        <v>37500</v>
      </c>
      <c r="I35" s="0" t="n">
        <v>14100</v>
      </c>
      <c r="J35" s="0" t="n">
        <v>10700</v>
      </c>
      <c r="K35" s="0" t="n">
        <v>3050</v>
      </c>
      <c r="L35" s="0" t="n">
        <v>52700</v>
      </c>
      <c r="M35" s="0" t="n">
        <v>14900</v>
      </c>
      <c r="N35" s="0" t="n">
        <v>60786005</v>
      </c>
      <c r="O35" s="0" t="n">
        <v>10557890</v>
      </c>
      <c r="P35" s="0" t="n">
        <v>276094705</v>
      </c>
      <c r="Q35" s="0" t="n">
        <v>43613580</v>
      </c>
      <c r="R35" s="0" t="n">
        <v>7483820</v>
      </c>
      <c r="S35" s="0" t="n">
        <v>3026145</v>
      </c>
      <c r="T35" s="0" t="n">
        <v>4966665</v>
      </c>
      <c r="U35" s="0" t="n">
        <v>1616515</v>
      </c>
      <c r="W35" s="0" t="n">
        <f aca="false">C35/B35</f>
        <v>0.457769895810242</v>
      </c>
      <c r="X35" s="0" t="n">
        <f aca="false">S35/R35</f>
        <v>0.404358335716252</v>
      </c>
      <c r="Y35" s="2" t="n">
        <f aca="false">IF(W35&gt;X35,TRUE())</f>
        <v>1</v>
      </c>
      <c r="AA35" s="2" t="n">
        <f aca="false">G35/(G35+K35)</f>
        <v>0.745409015025042</v>
      </c>
      <c r="AB35" s="0" t="n">
        <f aca="false">U35/(U35+O35/10)</f>
        <v>0.604914336093498</v>
      </c>
      <c r="AC35" s="2" t="n">
        <f aca="false">IF(AA35&lt;AB35,TRUE())</f>
        <v>0</v>
      </c>
      <c r="AE35" s="0" t="n">
        <f aca="false">G35/F35</f>
        <v>0.38129803586678</v>
      </c>
      <c r="AF35" s="0" t="n">
        <f aca="false">U35/T35</f>
        <v>0.32547292801105</v>
      </c>
      <c r="AG35" s="2" t="n">
        <f aca="false">IF(AE35&lt;AF35,TRUE())</f>
        <v>0</v>
      </c>
      <c r="AI35" s="0" t="n">
        <f aca="false">K35/J35</f>
        <v>0.285046728971963</v>
      </c>
      <c r="AJ35" s="0" t="n">
        <f aca="false">Q35/P35</f>
        <v>0.157966013871943</v>
      </c>
      <c r="AK35" s="2" t="n">
        <f aca="false">IF(AI35&gt;AJ35,TRUE())</f>
        <v>1</v>
      </c>
    </row>
    <row r="36" customFormat="false" ht="12.8" hidden="false" customHeight="false" outlineLevel="0" collapsed="false">
      <c r="A36" s="0" t="n">
        <v>298</v>
      </c>
      <c r="B36" s="0" t="n">
        <v>8120</v>
      </c>
      <c r="C36" s="0" t="n">
        <v>2355</v>
      </c>
      <c r="D36" s="0" t="n">
        <v>51000</v>
      </c>
      <c r="E36" s="0" t="n">
        <v>23500</v>
      </c>
      <c r="F36" s="0" t="n">
        <v>29565</v>
      </c>
      <c r="G36" s="0" t="n">
        <v>5375</v>
      </c>
      <c r="H36" s="0" t="n">
        <v>62600</v>
      </c>
      <c r="I36" s="0" t="n">
        <v>28200</v>
      </c>
      <c r="J36" s="0" t="s">
        <v>30</v>
      </c>
      <c r="K36" s="0" t="s">
        <v>30</v>
      </c>
      <c r="L36" s="0" t="s">
        <v>30</v>
      </c>
      <c r="M36" s="0" t="s">
        <v>30</v>
      </c>
      <c r="N36" s="0" t="n">
        <v>60786005</v>
      </c>
      <c r="O36" s="0" t="n">
        <v>10557890</v>
      </c>
      <c r="P36" s="0" t="n">
        <v>276094705</v>
      </c>
      <c r="Q36" s="0" t="n">
        <v>43613580</v>
      </c>
      <c r="R36" s="0" t="n">
        <v>7483820</v>
      </c>
      <c r="S36" s="0" t="n">
        <v>3026145</v>
      </c>
      <c r="T36" s="0" t="n">
        <v>4966665</v>
      </c>
      <c r="U36" s="0" t="n">
        <v>1616515</v>
      </c>
      <c r="W36" s="0" t="n">
        <f aca="false">C36/B36</f>
        <v>0.290024630541872</v>
      </c>
      <c r="X36" s="0" t="n">
        <f aca="false">S36/R36</f>
        <v>0.404358335716252</v>
      </c>
      <c r="Y36" s="2" t="n">
        <f aca="false">IF(W36&gt;X36,TRUE())</f>
        <v>0</v>
      </c>
      <c r="AA36" s="2"/>
      <c r="AB36" s="0" t="n">
        <f aca="false">U36/(U36+O36/10)</f>
        <v>0.604914336093498</v>
      </c>
      <c r="AC36" s="2" t="n">
        <f aca="false">IF(AA36&lt;AB36,TRUE())</f>
        <v>1</v>
      </c>
      <c r="AE36" s="0" t="n">
        <f aca="false">G36/F36</f>
        <v>0.181802807373584</v>
      </c>
      <c r="AF36" s="0" t="n">
        <f aca="false">U36/T36</f>
        <v>0.32547292801105</v>
      </c>
      <c r="AG36" s="2" t="n">
        <f aca="false">IF(AE36&lt;AF36,TRUE())</f>
        <v>1</v>
      </c>
      <c r="AI36" s="0" t="e">
        <f aca="false">K36/J36</f>
        <v>#VALUE!</v>
      </c>
      <c r="AJ36" s="0" t="n">
        <f aca="false">Q36/P36</f>
        <v>0.157966013871943</v>
      </c>
      <c r="AK36" s="2" t="e">
        <f aca="false">IF(AI36&gt;AJ36,TRUE())</f>
        <v>#VALUE!</v>
      </c>
    </row>
    <row r="37" customFormat="false" ht="12.8" hidden="false" customHeight="false" outlineLevel="0" collapsed="false">
      <c r="A37" s="0" t="n">
        <v>311</v>
      </c>
      <c r="B37" s="0" t="n">
        <v>12915</v>
      </c>
      <c r="C37" s="0" t="n">
        <v>2190</v>
      </c>
      <c r="D37" s="0" t="n">
        <v>70200</v>
      </c>
      <c r="E37" s="0" t="n">
        <v>25400</v>
      </c>
      <c r="F37" s="0" t="s">
        <v>30</v>
      </c>
      <c r="G37" s="0" t="s">
        <v>30</v>
      </c>
      <c r="H37" s="0" t="s">
        <v>30</v>
      </c>
      <c r="I37" s="0" t="s">
        <v>30</v>
      </c>
      <c r="J37" s="0" t="s">
        <v>30</v>
      </c>
      <c r="K37" s="0" t="s">
        <v>30</v>
      </c>
      <c r="L37" s="0" t="s">
        <v>30</v>
      </c>
      <c r="M37" s="0" t="s">
        <v>30</v>
      </c>
      <c r="N37" s="0" t="n">
        <v>59300960</v>
      </c>
      <c r="O37" s="0" t="n">
        <v>11146315</v>
      </c>
      <c r="P37" s="0" t="n">
        <v>211424990</v>
      </c>
      <c r="Q37" s="0" t="n">
        <v>36228195</v>
      </c>
      <c r="R37" s="0" t="n">
        <v>6646265</v>
      </c>
      <c r="S37" s="0" t="n">
        <v>2779620</v>
      </c>
      <c r="T37" s="0" t="n">
        <v>4651950</v>
      </c>
      <c r="U37" s="0" t="n">
        <v>1580315</v>
      </c>
      <c r="W37" s="0" t="n">
        <f aca="false">C37/B37</f>
        <v>0.169570267131243</v>
      </c>
      <c r="X37" s="0" t="n">
        <f aca="false">S37/R37</f>
        <v>0.41822286652729</v>
      </c>
      <c r="Y37" s="2" t="n">
        <f aca="false">IF(W37&gt;X37,TRUE())</f>
        <v>0</v>
      </c>
      <c r="AA37" s="2"/>
      <c r="AB37" s="0" t="n">
        <f aca="false">U37/(U37+O37/10)</f>
        <v>0.586399396054801</v>
      </c>
      <c r="AC37" s="2" t="n">
        <f aca="false">IF(AA37&lt;AB37,TRUE())</f>
        <v>1</v>
      </c>
      <c r="AF37" s="0" t="n">
        <f aca="false">U37/T37</f>
        <v>0.339710229043734</v>
      </c>
      <c r="AG37" s="2" t="n">
        <f aca="false">IF(AE37&lt;AF37,TRUE())</f>
        <v>1</v>
      </c>
      <c r="AI37" s="0" t="e">
        <f aca="false">K37/J37</f>
        <v>#VALUE!</v>
      </c>
      <c r="AJ37" s="0" t="n">
        <f aca="false">Q37/P37</f>
        <v>0.171352473517913</v>
      </c>
      <c r="AK37" s="2" t="e">
        <f aca="false">IF(AI37&gt;AJ37,TRUE())</f>
        <v>#VALUE!</v>
      </c>
    </row>
    <row r="38" customFormat="false" ht="12.8" hidden="false" customHeight="false" outlineLevel="0" collapsed="false">
      <c r="A38" s="0" t="n">
        <v>346</v>
      </c>
      <c r="B38" s="0" t="n">
        <v>18210</v>
      </c>
      <c r="C38" s="0" t="n">
        <v>5125</v>
      </c>
      <c r="D38" s="0" t="n">
        <v>51200</v>
      </c>
      <c r="E38" s="0" t="n">
        <v>19900</v>
      </c>
      <c r="F38" s="0" t="n">
        <v>5040</v>
      </c>
      <c r="G38" s="0" t="n">
        <v>1055</v>
      </c>
      <c r="H38" s="0" t="n">
        <v>56100</v>
      </c>
      <c r="I38" s="0" t="n">
        <v>24300</v>
      </c>
      <c r="J38" s="0" t="n">
        <v>7930</v>
      </c>
      <c r="K38" s="0" t="n">
        <v>855</v>
      </c>
      <c r="L38" s="0" t="n">
        <v>70400</v>
      </c>
      <c r="M38" s="0" t="n">
        <v>22800</v>
      </c>
      <c r="N38" s="0" t="n">
        <v>59538720</v>
      </c>
      <c r="O38" s="0" t="n">
        <v>9407090</v>
      </c>
      <c r="P38" s="0" t="n">
        <v>336225325</v>
      </c>
      <c r="Q38" s="0" t="n">
        <v>47534205</v>
      </c>
      <c r="R38" s="0" t="n">
        <v>7927865</v>
      </c>
      <c r="S38" s="0" t="n">
        <v>3073000</v>
      </c>
      <c r="T38" s="0" t="n">
        <v>5145830</v>
      </c>
      <c r="U38" s="0" t="n">
        <v>1650240</v>
      </c>
      <c r="W38" s="0" t="n">
        <f aca="false">C38/B38</f>
        <v>0.281438769906645</v>
      </c>
      <c r="X38" s="0" t="n">
        <f aca="false">S38/R38</f>
        <v>0.387620122189265</v>
      </c>
      <c r="Y38" s="2" t="n">
        <f aca="false">IF(W38&gt;X38,TRUE())</f>
        <v>0</v>
      </c>
      <c r="AA38" s="2" t="n">
        <f aca="false">G38/(G38+K38)</f>
        <v>0.552356020942408</v>
      </c>
      <c r="AB38" s="0" t="n">
        <f aca="false">U38/(U38+O38/10)</f>
        <v>0.636924925963421</v>
      </c>
      <c r="AC38" s="2" t="n">
        <f aca="false">IF(AA38&lt;AB38,TRUE())</f>
        <v>1</v>
      </c>
      <c r="AE38" s="0" t="n">
        <f aca="false">G38/F38</f>
        <v>0.209325396825397</v>
      </c>
      <c r="AF38" s="0" t="n">
        <f aca="false">U38/T38</f>
        <v>0.320694620692872</v>
      </c>
      <c r="AG38" s="2" t="n">
        <f aca="false">IF(AE38&lt;AF38,TRUE())</f>
        <v>1</v>
      </c>
      <c r="AI38" s="0" t="n">
        <f aca="false">K38/J38</f>
        <v>0.1078184110971</v>
      </c>
      <c r="AJ38" s="0" t="n">
        <f aca="false">Q38/P38</f>
        <v>0.141376040011263</v>
      </c>
      <c r="AK38" s="2" t="n">
        <f aca="false">IF(AI38&gt;AJ38,TRUE())</f>
        <v>0</v>
      </c>
    </row>
    <row r="39" customFormat="false" ht="12.8" hidden="false" customHeight="false" outlineLevel="0" collapsed="false">
      <c r="A39" s="0" t="n">
        <v>377</v>
      </c>
      <c r="B39" s="0" t="n">
        <v>7880</v>
      </c>
      <c r="C39" s="0" t="n">
        <v>2490</v>
      </c>
      <c r="D39" s="0" t="n">
        <v>61900</v>
      </c>
      <c r="E39" s="0" t="n">
        <v>25100</v>
      </c>
      <c r="F39" s="0" t="s">
        <v>30</v>
      </c>
      <c r="G39" s="0" t="s">
        <v>30</v>
      </c>
      <c r="H39" s="0" t="s">
        <v>30</v>
      </c>
      <c r="I39" s="0" t="s">
        <v>30</v>
      </c>
      <c r="J39" s="0" t="s">
        <v>30</v>
      </c>
      <c r="K39" s="0" t="s">
        <v>30</v>
      </c>
      <c r="L39" s="0" t="s">
        <v>30</v>
      </c>
      <c r="M39" s="0" t="s">
        <v>30</v>
      </c>
      <c r="N39" s="0" t="n">
        <v>54203300</v>
      </c>
      <c r="O39" s="0" t="n">
        <v>10905830</v>
      </c>
      <c r="P39" s="0" t="n">
        <v>75083075</v>
      </c>
      <c r="Q39" s="0" t="n">
        <v>15243105</v>
      </c>
      <c r="R39" s="0" t="n">
        <v>5573115</v>
      </c>
      <c r="S39" s="0" t="n">
        <v>2444395</v>
      </c>
      <c r="T39" s="0" t="n">
        <v>4200305</v>
      </c>
      <c r="U39" s="0" t="n">
        <v>1465110</v>
      </c>
      <c r="W39" s="0" t="n">
        <f aca="false">C39/B39</f>
        <v>0.315989847715736</v>
      </c>
      <c r="X39" s="0" t="n">
        <f aca="false">S39/R39</f>
        <v>0.438604801802941</v>
      </c>
      <c r="Y39" s="2" t="n">
        <f aca="false">IF(W39&gt;X39,TRUE())</f>
        <v>0</v>
      </c>
      <c r="AA39" s="2"/>
      <c r="AB39" s="0" t="n">
        <f aca="false">U39/(U39+O39/10)</f>
        <v>0.573273080921691</v>
      </c>
      <c r="AC39" s="2" t="n">
        <f aca="false">IF(AA39&lt;AB39,TRUE())</f>
        <v>1</v>
      </c>
      <c r="AF39" s="0" t="n">
        <f aca="false">U39/T39</f>
        <v>0.348810384007828</v>
      </c>
      <c r="AG39" s="2" t="n">
        <f aca="false">IF(AE39&lt;AF39,TRUE())</f>
        <v>1</v>
      </c>
      <c r="AI39" s="0" t="e">
        <f aca="false">K39/J39</f>
        <v>#VALUE!</v>
      </c>
      <c r="AJ39" s="0" t="n">
        <f aca="false">Q39/P39</f>
        <v>0.203016525362074</v>
      </c>
      <c r="AK39" s="2" t="e">
        <f aca="false">IF(AI39&gt;AJ39,TRUE())</f>
        <v>#VALUE!</v>
      </c>
    </row>
    <row r="40" customFormat="false" ht="12.8" hidden="false" customHeight="false" outlineLevel="0" collapsed="false">
      <c r="A40" s="0" t="n">
        <v>382</v>
      </c>
      <c r="B40" s="0" t="n">
        <v>61500</v>
      </c>
      <c r="C40" s="0" t="n">
        <v>16435</v>
      </c>
      <c r="D40" s="0" t="n">
        <v>80100</v>
      </c>
      <c r="E40" s="0" t="n">
        <v>28800</v>
      </c>
      <c r="F40" s="0" t="s">
        <v>30</v>
      </c>
      <c r="G40" s="0" t="s">
        <v>30</v>
      </c>
      <c r="H40" s="0" t="s">
        <v>30</v>
      </c>
      <c r="I40" s="0" t="s">
        <v>30</v>
      </c>
      <c r="J40" s="0" t="s">
        <v>30</v>
      </c>
      <c r="K40" s="0" t="s">
        <v>30</v>
      </c>
      <c r="L40" s="0" t="s">
        <v>30</v>
      </c>
      <c r="M40" s="0" t="s">
        <v>30</v>
      </c>
      <c r="N40" s="0" t="n">
        <v>54203300</v>
      </c>
      <c r="O40" s="0" t="n">
        <v>10905830</v>
      </c>
      <c r="P40" s="0" t="n">
        <v>75083075</v>
      </c>
      <c r="Q40" s="0" t="n">
        <v>15243105</v>
      </c>
      <c r="R40" s="0" t="n">
        <v>5573115</v>
      </c>
      <c r="S40" s="0" t="n">
        <v>2444395</v>
      </c>
      <c r="T40" s="0" t="n">
        <v>4200305</v>
      </c>
      <c r="U40" s="0" t="n">
        <v>1465110</v>
      </c>
      <c r="W40" s="0" t="n">
        <f aca="false">C40/B40</f>
        <v>0.267235772357724</v>
      </c>
      <c r="X40" s="0" t="n">
        <f aca="false">S40/R40</f>
        <v>0.438604801802941</v>
      </c>
      <c r="Y40" s="2" t="n">
        <f aca="false">IF(W40&gt;X40,TRUE())</f>
        <v>0</v>
      </c>
      <c r="AA40" s="2"/>
      <c r="AB40" s="0" t="n">
        <f aca="false">U40/(U40+O40/10)</f>
        <v>0.573273080921691</v>
      </c>
      <c r="AC40" s="2" t="n">
        <f aca="false">IF(AA40&lt;AB40,TRUE())</f>
        <v>1</v>
      </c>
      <c r="AF40" s="0" t="n">
        <f aca="false">U40/T40</f>
        <v>0.348810384007828</v>
      </c>
      <c r="AG40" s="2" t="n">
        <f aca="false">IF(AE40&lt;AF40,TRUE())</f>
        <v>1</v>
      </c>
      <c r="AI40" s="0" t="e">
        <f aca="false">K40/J40</f>
        <v>#VALUE!</v>
      </c>
      <c r="AJ40" s="0" t="n">
        <f aca="false">Q40/P40</f>
        <v>0.203016525362074</v>
      </c>
      <c r="AK40" s="2" t="e">
        <f aca="false">IF(AI40&gt;AJ40,TRUE())</f>
        <v>#VALUE!</v>
      </c>
    </row>
    <row r="41" customFormat="false" ht="12.8" hidden="false" customHeight="false" outlineLevel="0" collapsed="false">
      <c r="A41" s="0" t="n">
        <v>383</v>
      </c>
      <c r="B41" s="0" t="n">
        <v>2925</v>
      </c>
      <c r="C41" s="0" t="n">
        <v>1005</v>
      </c>
      <c r="D41" s="0" t="n">
        <v>34600</v>
      </c>
      <c r="E41" s="0" t="n">
        <v>15700</v>
      </c>
      <c r="F41" s="0" t="n">
        <v>3440</v>
      </c>
      <c r="G41" s="0" t="n">
        <v>725</v>
      </c>
      <c r="H41" s="0" t="n">
        <v>41600</v>
      </c>
      <c r="I41" s="0" t="n">
        <v>19600</v>
      </c>
      <c r="J41" s="0" t="s">
        <v>30</v>
      </c>
      <c r="K41" s="0" t="s">
        <v>30</v>
      </c>
      <c r="L41" s="0" t="s">
        <v>30</v>
      </c>
      <c r="M41" s="0" t="s">
        <v>30</v>
      </c>
      <c r="N41" s="0" t="n">
        <v>40959410</v>
      </c>
      <c r="O41" s="0" t="n">
        <v>4805740</v>
      </c>
      <c r="P41" s="0" t="n">
        <v>197926390</v>
      </c>
      <c r="Q41" s="0" t="n">
        <v>19210055</v>
      </c>
      <c r="R41" s="0" t="n">
        <v>7731790</v>
      </c>
      <c r="S41" s="0" t="n">
        <v>2576260</v>
      </c>
      <c r="T41" s="0" t="n">
        <v>4823570</v>
      </c>
      <c r="U41" s="0" t="n">
        <v>1224870</v>
      </c>
      <c r="W41" s="0" t="n">
        <f aca="false">C41/B41</f>
        <v>0.343589743589744</v>
      </c>
      <c r="X41" s="0" t="n">
        <f aca="false">S41/R41</f>
        <v>0.333203566056502</v>
      </c>
      <c r="Y41" s="2" t="n">
        <f aca="false">IF(W41&gt;X41,TRUE())</f>
        <v>1</v>
      </c>
      <c r="AA41" s="2"/>
      <c r="AB41" s="0" t="n">
        <f aca="false">U41/(U41+O41/10)</f>
        <v>0.718211797045227</v>
      </c>
      <c r="AC41" s="2" t="n">
        <f aca="false">IF(AA41&lt;AB41,TRUE())</f>
        <v>1</v>
      </c>
      <c r="AE41" s="0" t="n">
        <f aca="false">G41/F41</f>
        <v>0.210755813953488</v>
      </c>
      <c r="AF41" s="0" t="n">
        <f aca="false">U41/T41</f>
        <v>0.253934326650178</v>
      </c>
      <c r="AG41" s="2" t="n">
        <f aca="false">IF(AE41&lt;AF41,TRUE())</f>
        <v>1</v>
      </c>
      <c r="AI41" s="0" t="e">
        <f aca="false">K41/J41</f>
        <v>#VALUE!</v>
      </c>
      <c r="AJ41" s="0" t="n">
        <f aca="false">Q41/P41</f>
        <v>0.0970565622906577</v>
      </c>
      <c r="AK41" s="2" t="e">
        <f aca="false">IF(AI41&gt;AJ41,TRUE())</f>
        <v>#VALUE!</v>
      </c>
    </row>
    <row r="42" customFormat="false" ht="12.8" hidden="false" customHeight="false" outlineLevel="0" collapsed="false">
      <c r="A42" s="0" t="n">
        <v>393</v>
      </c>
      <c r="B42" s="0" t="n">
        <v>11800</v>
      </c>
      <c r="C42" s="0" t="n">
        <v>5385</v>
      </c>
      <c r="D42" s="0" t="n">
        <v>37300</v>
      </c>
      <c r="E42" s="0" t="n">
        <v>19300</v>
      </c>
      <c r="F42" s="0" t="n">
        <v>11155</v>
      </c>
      <c r="G42" s="0" t="n">
        <v>5005</v>
      </c>
      <c r="H42" s="0" t="n">
        <v>35200</v>
      </c>
      <c r="I42" s="0" t="n">
        <v>20200</v>
      </c>
      <c r="J42" s="0" t="n">
        <v>15950</v>
      </c>
      <c r="K42" s="0" t="n">
        <v>6010</v>
      </c>
      <c r="L42" s="0" t="n">
        <v>43200</v>
      </c>
      <c r="M42" s="0" t="n">
        <v>22000</v>
      </c>
      <c r="N42" s="0" t="n">
        <v>54203300</v>
      </c>
      <c r="O42" s="0" t="n">
        <v>10905830</v>
      </c>
      <c r="P42" s="0" t="n">
        <v>75083075</v>
      </c>
      <c r="Q42" s="0" t="n">
        <v>15243105</v>
      </c>
      <c r="R42" s="0" t="n">
        <v>5573115</v>
      </c>
      <c r="S42" s="0" t="n">
        <v>2444395</v>
      </c>
      <c r="T42" s="0" t="n">
        <v>4200305</v>
      </c>
      <c r="U42" s="0" t="n">
        <v>1465110</v>
      </c>
      <c r="W42" s="0" t="n">
        <f aca="false">C42/B42</f>
        <v>0.45635593220339</v>
      </c>
      <c r="X42" s="0" t="n">
        <f aca="false">S42/R42</f>
        <v>0.438604801802941</v>
      </c>
      <c r="Y42" s="2" t="n">
        <f aca="false">IF(W42&gt;X42,TRUE())</f>
        <v>1</v>
      </c>
      <c r="AA42" s="2" t="n">
        <f aca="false">G42/(G42+K42)</f>
        <v>0.454380390376759</v>
      </c>
      <c r="AB42" s="0" t="n">
        <f aca="false">U42/(U42+O42/10)</f>
        <v>0.573273080921691</v>
      </c>
      <c r="AC42" s="2" t="n">
        <f aca="false">IF(AA42&lt;AB42,TRUE())</f>
        <v>1</v>
      </c>
      <c r="AE42" s="0" t="n">
        <f aca="false">G42/F42</f>
        <v>0.448677722994173</v>
      </c>
      <c r="AF42" s="0" t="n">
        <f aca="false">U42/T42</f>
        <v>0.348810384007828</v>
      </c>
      <c r="AG42" s="2" t="n">
        <f aca="false">IF(AE42&lt;AF42,TRUE())</f>
        <v>0</v>
      </c>
      <c r="AI42" s="0" t="n">
        <f aca="false">K42/J42</f>
        <v>0.376802507836991</v>
      </c>
      <c r="AJ42" s="0" t="n">
        <f aca="false">Q42/P42</f>
        <v>0.203016525362074</v>
      </c>
      <c r="AK42" s="2" t="n">
        <f aca="false">IF(AI42&gt;AJ42,TRUE())</f>
        <v>1</v>
      </c>
    </row>
    <row r="43" customFormat="false" ht="12.8" hidden="false" customHeight="false" outlineLevel="0" collapsed="false">
      <c r="A43" s="0" t="n">
        <v>485</v>
      </c>
      <c r="B43" s="0" t="n">
        <v>18750</v>
      </c>
      <c r="C43" s="0" t="n">
        <v>5830</v>
      </c>
      <c r="D43" s="0" t="n">
        <v>39300</v>
      </c>
      <c r="E43" s="0" t="n">
        <v>16400</v>
      </c>
      <c r="F43" s="0" t="n">
        <v>13135</v>
      </c>
      <c r="G43" s="0" t="n">
        <v>3410</v>
      </c>
      <c r="H43" s="0" t="n">
        <v>39300</v>
      </c>
      <c r="I43" s="0" t="n">
        <v>22300</v>
      </c>
      <c r="J43" s="0" t="n">
        <v>16550</v>
      </c>
      <c r="K43" s="0" t="n">
        <v>3560</v>
      </c>
      <c r="L43" s="0" t="n">
        <v>45300</v>
      </c>
      <c r="M43" s="0" t="n">
        <v>22700</v>
      </c>
      <c r="N43" s="0" t="n">
        <v>32763410</v>
      </c>
      <c r="O43" s="0" t="n">
        <v>5619780</v>
      </c>
      <c r="P43" s="0" t="n">
        <v>22737450</v>
      </c>
      <c r="Q43" s="0" t="n">
        <v>3357625</v>
      </c>
      <c r="R43" s="0" t="n">
        <v>2532310</v>
      </c>
      <c r="S43" s="0" t="n">
        <v>1081630</v>
      </c>
      <c r="T43" s="0" t="n">
        <v>2042240</v>
      </c>
      <c r="U43" s="0" t="n">
        <v>672995</v>
      </c>
      <c r="W43" s="0" t="n">
        <f aca="false">C43/B43</f>
        <v>0.310933333333333</v>
      </c>
      <c r="X43" s="0" t="n">
        <f aca="false">S43/R43</f>
        <v>0.427131749272403</v>
      </c>
      <c r="Y43" s="2" t="n">
        <f aca="false">IF(W43&gt;X43,TRUE())</f>
        <v>0</v>
      </c>
      <c r="AA43" s="2" t="n">
        <f aca="false">G43/(G43+K43)</f>
        <v>0.489239598278336</v>
      </c>
      <c r="AB43" s="0" t="n">
        <f aca="false">U43/(U43+O43/10)</f>
        <v>0.544947136496101</v>
      </c>
      <c r="AC43" s="2" t="n">
        <f aca="false">IF(AA43&lt;AB43,TRUE())</f>
        <v>1</v>
      </c>
      <c r="AE43" s="0" t="n">
        <f aca="false">G43/F43</f>
        <v>0.259611724400457</v>
      </c>
      <c r="AF43" s="0" t="n">
        <f aca="false">U43/T43</f>
        <v>0.329537664525227</v>
      </c>
      <c r="AG43" s="2" t="n">
        <f aca="false">IF(AE43&lt;AF43,TRUE())</f>
        <v>1</v>
      </c>
      <c r="AI43" s="0" t="n">
        <f aca="false">K43/J43</f>
        <v>0.215105740181269</v>
      </c>
      <c r="AJ43" s="0" t="n">
        <f aca="false">Q43/P43</f>
        <v>0.147669373654478</v>
      </c>
      <c r="AK43" s="2" t="n">
        <f aca="false">IF(AI43&gt;AJ43,TRUE())</f>
        <v>1</v>
      </c>
    </row>
    <row r="44" customFormat="false" ht="12.8" hidden="false" customHeight="false" outlineLevel="0" collapsed="false">
      <c r="A44" s="0" t="n">
        <v>486</v>
      </c>
      <c r="B44" s="0" t="n">
        <v>7370</v>
      </c>
      <c r="C44" s="0" t="n">
        <v>2075</v>
      </c>
      <c r="D44" s="0" t="n">
        <v>39900</v>
      </c>
      <c r="E44" s="0" t="n">
        <v>16400</v>
      </c>
      <c r="F44" s="0" t="n">
        <v>4745</v>
      </c>
      <c r="G44" s="0" t="n">
        <v>1175</v>
      </c>
      <c r="H44" s="0" t="n">
        <v>41700</v>
      </c>
      <c r="I44" s="0" t="n">
        <v>22500</v>
      </c>
      <c r="J44" s="0" t="n">
        <v>5985</v>
      </c>
      <c r="K44" s="0" t="n">
        <v>1090</v>
      </c>
      <c r="L44" s="0" t="n">
        <v>49900</v>
      </c>
      <c r="M44" s="0" t="n">
        <v>24900</v>
      </c>
      <c r="N44" s="0" t="n">
        <v>32763410</v>
      </c>
      <c r="O44" s="0" t="n">
        <v>5619780</v>
      </c>
      <c r="P44" s="0" t="n">
        <v>22737450</v>
      </c>
      <c r="Q44" s="0" t="n">
        <v>3357625</v>
      </c>
      <c r="R44" s="0" t="n">
        <v>2532310</v>
      </c>
      <c r="S44" s="0" t="n">
        <v>1081630</v>
      </c>
      <c r="T44" s="0" t="n">
        <v>2042240</v>
      </c>
      <c r="U44" s="0" t="n">
        <v>672995</v>
      </c>
      <c r="W44" s="0" t="n">
        <f aca="false">C44/B44</f>
        <v>0.281546811397558</v>
      </c>
      <c r="X44" s="0" t="n">
        <f aca="false">S44/R44</f>
        <v>0.427131749272403</v>
      </c>
      <c r="Y44" s="2" t="n">
        <f aca="false">IF(W44&gt;X44,TRUE())</f>
        <v>0</v>
      </c>
      <c r="AA44" s="2" t="n">
        <f aca="false">G44/(G44+K44)</f>
        <v>0.518763796909492</v>
      </c>
      <c r="AB44" s="0" t="n">
        <f aca="false">U44/(U44+O44/10)</f>
        <v>0.544947136496101</v>
      </c>
      <c r="AC44" s="2" t="n">
        <f aca="false">IF(AA44&lt;AB44,TRUE())</f>
        <v>1</v>
      </c>
      <c r="AE44" s="0" t="n">
        <f aca="false">G44/F44</f>
        <v>0.247629083245522</v>
      </c>
      <c r="AF44" s="0" t="n">
        <f aca="false">U44/T44</f>
        <v>0.329537664525227</v>
      </c>
      <c r="AG44" s="2" t="n">
        <f aca="false">IF(AE44&lt;AF44,TRUE())</f>
        <v>1</v>
      </c>
      <c r="AI44" s="0" t="n">
        <f aca="false">K44/J44</f>
        <v>0.182121971595656</v>
      </c>
      <c r="AJ44" s="0" t="n">
        <f aca="false">Q44/P44</f>
        <v>0.147669373654478</v>
      </c>
      <c r="AK44" s="2" t="n">
        <f aca="false">IF(AI44&gt;AJ44,TRUE())</f>
        <v>1</v>
      </c>
    </row>
    <row r="45" customFormat="false" ht="12.8" hidden="false" customHeight="false" outlineLevel="0" collapsed="false">
      <c r="A45" s="0" t="n">
        <v>499</v>
      </c>
      <c r="B45" s="0" t="n">
        <v>2540</v>
      </c>
      <c r="C45" s="0" t="n">
        <v>1115</v>
      </c>
      <c r="D45" s="0" t="n">
        <v>35100</v>
      </c>
      <c r="E45" s="0" t="n">
        <v>14300</v>
      </c>
      <c r="F45" s="0" t="s">
        <v>30</v>
      </c>
      <c r="G45" s="0" t="s">
        <v>30</v>
      </c>
      <c r="H45" s="0" t="s">
        <v>30</v>
      </c>
      <c r="I45" s="0" t="s">
        <v>30</v>
      </c>
      <c r="J45" s="0" t="s">
        <v>30</v>
      </c>
      <c r="K45" s="0" t="s">
        <v>30</v>
      </c>
      <c r="L45" s="0" t="s">
        <v>30</v>
      </c>
      <c r="M45" s="0" t="s">
        <v>30</v>
      </c>
      <c r="N45" s="0" t="n">
        <v>32763410</v>
      </c>
      <c r="O45" s="0" t="n">
        <v>5619780</v>
      </c>
      <c r="P45" s="0" t="n">
        <v>22737450</v>
      </c>
      <c r="Q45" s="0" t="n">
        <v>3357625</v>
      </c>
      <c r="R45" s="0" t="n">
        <v>2532310</v>
      </c>
      <c r="S45" s="0" t="n">
        <v>1081630</v>
      </c>
      <c r="T45" s="0" t="n">
        <v>2042240</v>
      </c>
      <c r="U45" s="0" t="n">
        <v>672995</v>
      </c>
      <c r="W45" s="0" t="n">
        <f aca="false">C45/B45</f>
        <v>0.438976377952756</v>
      </c>
      <c r="X45" s="0" t="n">
        <f aca="false">S45/R45</f>
        <v>0.427131749272403</v>
      </c>
      <c r="Y45" s="2" t="n">
        <f aca="false">IF(W45&gt;X45,TRUE())</f>
        <v>1</v>
      </c>
      <c r="AA45" s="2"/>
      <c r="AB45" s="0" t="n">
        <f aca="false">U45/(U45+O45/10)</f>
        <v>0.544947136496101</v>
      </c>
      <c r="AC45" s="2" t="n">
        <f aca="false">IF(AA45&lt;AB45,TRUE())</f>
        <v>1</v>
      </c>
      <c r="AF45" s="0" t="n">
        <f aca="false">U45/T45</f>
        <v>0.329537664525227</v>
      </c>
      <c r="AG45" s="2" t="n">
        <f aca="false">IF(AE45&lt;AF45,TRUE())</f>
        <v>1</v>
      </c>
      <c r="AI45" s="0" t="e">
        <f aca="false">K45/J45</f>
        <v>#VALUE!</v>
      </c>
      <c r="AJ45" s="0" t="n">
        <f aca="false">Q45/P45</f>
        <v>0.147669373654478</v>
      </c>
      <c r="AK45" s="2" t="e">
        <f aca="false">IF(AI45&gt;AJ45,TRUE())</f>
        <v>#VALUE!</v>
      </c>
    </row>
    <row r="46" customFormat="false" ht="12.8" hidden="false" customHeight="false" outlineLevel="0" collapsed="false">
      <c r="A46" s="0" t="n">
        <v>652</v>
      </c>
      <c r="B46" s="0" t="n">
        <v>16300</v>
      </c>
      <c r="C46" s="0" t="n">
        <v>7495</v>
      </c>
      <c r="D46" s="0" t="n">
        <v>31200</v>
      </c>
      <c r="E46" s="0" t="n">
        <v>12700</v>
      </c>
      <c r="F46" s="0" t="n">
        <v>14265</v>
      </c>
      <c r="G46" s="0" t="n">
        <v>6355</v>
      </c>
      <c r="H46" s="0" t="n">
        <v>31700</v>
      </c>
      <c r="I46" s="0" t="n">
        <v>14300</v>
      </c>
      <c r="J46" s="0" t="n">
        <v>7315</v>
      </c>
      <c r="K46" s="0" t="n">
        <v>2735</v>
      </c>
      <c r="L46" s="0" t="n">
        <v>42300</v>
      </c>
      <c r="M46" s="0" t="n">
        <v>14300</v>
      </c>
      <c r="N46" s="0" t="n">
        <v>22965580</v>
      </c>
      <c r="O46" s="0" t="n">
        <v>4723925</v>
      </c>
      <c r="P46" s="0" t="n">
        <v>28421610</v>
      </c>
      <c r="Q46" s="0" t="n">
        <v>5798950</v>
      </c>
      <c r="R46" s="0" t="n">
        <v>2780210</v>
      </c>
      <c r="S46" s="0" t="n">
        <v>1182280</v>
      </c>
      <c r="T46" s="0" t="n">
        <v>2020585</v>
      </c>
      <c r="U46" s="0" t="n">
        <v>741800</v>
      </c>
      <c r="W46" s="0" t="n">
        <f aca="false">C46/B46</f>
        <v>0.459815950920245</v>
      </c>
      <c r="X46" s="0" t="n">
        <f aca="false">S46/R46</f>
        <v>0.42524845245503</v>
      </c>
      <c r="Y46" s="2" t="n">
        <f aca="false">IF(W46&gt;X46,TRUE())</f>
        <v>1</v>
      </c>
      <c r="AA46" s="2" t="n">
        <f aca="false">G46/(G46+K46)</f>
        <v>0.699119911991199</v>
      </c>
      <c r="AB46" s="0" t="n">
        <f aca="false">U46/(U46+O46/10)</f>
        <v>0.610941016354491</v>
      </c>
      <c r="AC46" s="2" t="n">
        <f aca="false">IF(AA46&lt;AB46,TRUE())</f>
        <v>0</v>
      </c>
      <c r="AE46" s="0" t="n">
        <f aca="false">G46/F46</f>
        <v>0.445495969155275</v>
      </c>
      <c r="AF46" s="0" t="n">
        <f aca="false">U46/T46</f>
        <v>0.367121402960034</v>
      </c>
      <c r="AG46" s="2" t="n">
        <f aca="false">IF(AE46&lt;AF46,TRUE())</f>
        <v>0</v>
      </c>
      <c r="AI46" s="0" t="n">
        <f aca="false">K46/J46</f>
        <v>0.373889268626111</v>
      </c>
      <c r="AJ46" s="0" t="n">
        <f aca="false">Q46/P46</f>
        <v>0.20403312831328</v>
      </c>
      <c r="AK46" s="2" t="n">
        <f aca="false">IF(AI46&gt;AJ46,TRUE())</f>
        <v>1</v>
      </c>
    </row>
    <row r="47" customFormat="false" ht="12.8" hidden="false" customHeight="false" outlineLevel="0" collapsed="false">
      <c r="A47" s="0" t="n">
        <v>656</v>
      </c>
      <c r="B47" s="0" t="n">
        <v>13675</v>
      </c>
      <c r="C47" s="0" t="n">
        <v>4755</v>
      </c>
      <c r="D47" s="0" t="n">
        <v>36100</v>
      </c>
      <c r="E47" s="0" t="n">
        <v>15700</v>
      </c>
      <c r="F47" s="0" t="n">
        <v>16720</v>
      </c>
      <c r="G47" s="0" t="n">
        <v>5025</v>
      </c>
      <c r="H47" s="0" t="n">
        <v>34800</v>
      </c>
      <c r="I47" s="0" t="n">
        <v>18200</v>
      </c>
      <c r="J47" s="0" t="n">
        <v>7490</v>
      </c>
      <c r="K47" s="0" t="n">
        <v>1525</v>
      </c>
      <c r="L47" s="0" t="n">
        <v>47100</v>
      </c>
      <c r="M47" s="0" t="n">
        <v>19500</v>
      </c>
      <c r="N47" s="0" t="n">
        <v>24645485</v>
      </c>
      <c r="O47" s="0" t="n">
        <v>4871145</v>
      </c>
      <c r="P47" s="0" t="n">
        <v>53293005</v>
      </c>
      <c r="Q47" s="0" t="n">
        <v>10852350</v>
      </c>
      <c r="R47" s="0" t="n">
        <v>3376205</v>
      </c>
      <c r="S47" s="0" t="n">
        <v>1434465</v>
      </c>
      <c r="T47" s="0" t="n">
        <v>2477405</v>
      </c>
      <c r="U47" s="0" t="n">
        <v>903615</v>
      </c>
      <c r="W47" s="0" t="n">
        <f aca="false">C47/B47</f>
        <v>0.347714808043876</v>
      </c>
      <c r="X47" s="0" t="n">
        <f aca="false">S47/R47</f>
        <v>0.424874970566065</v>
      </c>
      <c r="Y47" s="2" t="n">
        <f aca="false">IF(W47&gt;X47,TRUE())</f>
        <v>0</v>
      </c>
      <c r="AA47" s="2" t="n">
        <f aca="false">G47/(G47+K47)</f>
        <v>0.767175572519084</v>
      </c>
      <c r="AB47" s="0" t="n">
        <f aca="false">U47/(U47+O47/10)</f>
        <v>0.649741736261437</v>
      </c>
      <c r="AC47" s="2" t="n">
        <f aca="false">IF(AA47&lt;AB47,TRUE())</f>
        <v>0</v>
      </c>
      <c r="AE47" s="0" t="n">
        <f aca="false">G47/F47</f>
        <v>0.300538277511962</v>
      </c>
      <c r="AF47" s="0" t="n">
        <f aca="false">U47/T47</f>
        <v>0.364742543104579</v>
      </c>
      <c r="AG47" s="2" t="n">
        <f aca="false">IF(AE47&lt;AF47,TRUE())</f>
        <v>1</v>
      </c>
      <c r="AI47" s="0" t="n">
        <f aca="false">K47/J47</f>
        <v>0.203604806408545</v>
      </c>
      <c r="AJ47" s="0" t="n">
        <f aca="false">Q47/P47</f>
        <v>0.203635542788402</v>
      </c>
      <c r="AK47" s="2" t="n">
        <f aca="false">IF(AI47&gt;AJ47,TRUE())</f>
        <v>0</v>
      </c>
    </row>
    <row r="48" customFormat="false" ht="12.8" hidden="false" customHeight="false" outlineLevel="0" collapsed="false">
      <c r="A48" s="0" t="n">
        <v>657</v>
      </c>
      <c r="B48" s="0" t="n">
        <v>10845</v>
      </c>
      <c r="C48" s="0" t="n">
        <v>5050</v>
      </c>
      <c r="D48" s="0" t="n">
        <v>31900</v>
      </c>
      <c r="E48" s="0" t="n">
        <v>12500</v>
      </c>
      <c r="F48" s="0" t="n">
        <v>8255</v>
      </c>
      <c r="G48" s="0" t="n">
        <v>3385</v>
      </c>
      <c r="H48" s="0" t="n">
        <v>36200</v>
      </c>
      <c r="I48" s="0" t="n">
        <v>15800</v>
      </c>
      <c r="J48" s="0" t="n">
        <v>10185</v>
      </c>
      <c r="K48" s="0" t="n">
        <v>3590</v>
      </c>
      <c r="L48" s="0" t="n">
        <v>43900</v>
      </c>
      <c r="M48" s="0" t="n">
        <v>15200</v>
      </c>
      <c r="N48" s="0" t="n">
        <v>22965580</v>
      </c>
      <c r="O48" s="0" t="n">
        <v>4723925</v>
      </c>
      <c r="P48" s="0" t="n">
        <v>28421610</v>
      </c>
      <c r="Q48" s="0" t="n">
        <v>5798950</v>
      </c>
      <c r="R48" s="0" t="n">
        <v>2780210</v>
      </c>
      <c r="S48" s="0" t="n">
        <v>1182280</v>
      </c>
      <c r="T48" s="0" t="n">
        <v>2020585</v>
      </c>
      <c r="U48" s="0" t="n">
        <v>741800</v>
      </c>
      <c r="W48" s="0" t="n">
        <f aca="false">C48/B48</f>
        <v>0.465652374366067</v>
      </c>
      <c r="X48" s="0" t="n">
        <f aca="false">S48/R48</f>
        <v>0.42524845245503</v>
      </c>
      <c r="Y48" s="2" t="n">
        <f aca="false">IF(W48&gt;X48,TRUE())</f>
        <v>1</v>
      </c>
      <c r="AA48" s="2" t="n">
        <f aca="false">G48/(G48+K48)</f>
        <v>0.485304659498208</v>
      </c>
      <c r="AB48" s="0" t="n">
        <f aca="false">U48/(U48+O48/10)</f>
        <v>0.610941016354491</v>
      </c>
      <c r="AC48" s="2" t="n">
        <f aca="false">IF(AA48&lt;AB48,TRUE())</f>
        <v>1</v>
      </c>
      <c r="AE48" s="0" t="n">
        <f aca="false">G48/F48</f>
        <v>0.410054512416717</v>
      </c>
      <c r="AF48" s="0" t="n">
        <f aca="false">U48/T48</f>
        <v>0.367121402960034</v>
      </c>
      <c r="AG48" s="2" t="n">
        <f aca="false">IF(AE48&lt;AF48,TRUE())</f>
        <v>0</v>
      </c>
      <c r="AI48" s="0" t="n">
        <f aca="false">K48/J48</f>
        <v>0.352479135984291</v>
      </c>
      <c r="AJ48" s="0" t="n">
        <f aca="false">Q48/P48</f>
        <v>0.20403312831328</v>
      </c>
      <c r="AK48" s="2" t="n">
        <f aca="false">IF(AI48&gt;AJ48,TRUE())</f>
        <v>1</v>
      </c>
    </row>
    <row r="49" customFormat="false" ht="12.8" hidden="false" customHeight="false" outlineLevel="0" collapsed="false">
      <c r="A49" s="0" t="n">
        <v>658</v>
      </c>
      <c r="B49" s="0" t="n">
        <v>33420</v>
      </c>
      <c r="C49" s="0" t="n">
        <v>6940</v>
      </c>
      <c r="D49" s="0" t="n">
        <v>68000</v>
      </c>
      <c r="E49" s="0" t="n">
        <v>26300</v>
      </c>
      <c r="F49" s="0" t="n">
        <v>26845</v>
      </c>
      <c r="G49" s="0" t="n">
        <v>6345</v>
      </c>
      <c r="H49" s="0" t="n">
        <v>54300</v>
      </c>
      <c r="I49" s="0" t="n">
        <v>31300</v>
      </c>
      <c r="J49" s="0" t="n">
        <v>17955</v>
      </c>
      <c r="K49" s="0" t="n">
        <v>3635</v>
      </c>
      <c r="L49" s="0" t="n">
        <v>55900</v>
      </c>
      <c r="M49" s="0" t="n">
        <v>33800</v>
      </c>
      <c r="N49" s="0" t="n">
        <v>22965580</v>
      </c>
      <c r="O49" s="0" t="n">
        <v>4723925</v>
      </c>
      <c r="P49" s="0" t="n">
        <v>28421610</v>
      </c>
      <c r="Q49" s="0" t="n">
        <v>5798950</v>
      </c>
      <c r="R49" s="0" t="n">
        <v>2780210</v>
      </c>
      <c r="S49" s="0" t="n">
        <v>1182280</v>
      </c>
      <c r="T49" s="0" t="n">
        <v>2020585</v>
      </c>
      <c r="U49" s="0" t="n">
        <v>741800</v>
      </c>
      <c r="W49" s="0" t="n">
        <f aca="false">C49/B49</f>
        <v>0.207660083782166</v>
      </c>
      <c r="X49" s="0" t="n">
        <f aca="false">S49/R49</f>
        <v>0.42524845245503</v>
      </c>
      <c r="Y49" s="2" t="n">
        <f aca="false">IF(W49&gt;X49,TRUE())</f>
        <v>0</v>
      </c>
      <c r="AA49" s="2" t="n">
        <f aca="false">G49/(G49+K49)</f>
        <v>0.635771543086172</v>
      </c>
      <c r="AB49" s="0" t="n">
        <f aca="false">U49/(U49+O49/10)</f>
        <v>0.610941016354491</v>
      </c>
      <c r="AC49" s="2" t="n">
        <f aca="false">IF(AA49&lt;AB49,TRUE())</f>
        <v>0</v>
      </c>
      <c r="AE49" s="0" t="n">
        <f aca="false">G49/F49</f>
        <v>0.236356863475508</v>
      </c>
      <c r="AF49" s="0" t="n">
        <f aca="false">U49/T49</f>
        <v>0.367121402960034</v>
      </c>
      <c r="AG49" s="2" t="n">
        <f aca="false">IF(AE49&lt;AF49,TRUE())</f>
        <v>1</v>
      </c>
      <c r="AI49" s="0" t="n">
        <f aca="false">K49/J49</f>
        <v>0.202450570871623</v>
      </c>
      <c r="AJ49" s="0" t="n">
        <f aca="false">Q49/P49</f>
        <v>0.20403312831328</v>
      </c>
      <c r="AK49" s="2" t="n">
        <f aca="false">IF(AI49&gt;AJ49,TRUE())</f>
        <v>0</v>
      </c>
    </row>
    <row r="50" customFormat="false" ht="12.8" hidden="false" customHeight="false" outlineLevel="0" collapsed="false">
      <c r="A50" s="0" t="n">
        <v>659</v>
      </c>
      <c r="B50" s="0" t="n">
        <v>10655</v>
      </c>
      <c r="C50" s="0" t="n">
        <v>3865</v>
      </c>
      <c r="D50" s="0" t="n">
        <v>34200</v>
      </c>
      <c r="E50" s="0" t="n">
        <v>15100</v>
      </c>
      <c r="F50" s="0" t="n">
        <v>10945</v>
      </c>
      <c r="G50" s="0" t="n">
        <v>3525</v>
      </c>
      <c r="H50" s="0" t="n">
        <v>33700</v>
      </c>
      <c r="I50" s="0" t="n">
        <v>16500</v>
      </c>
      <c r="J50" s="0" t="n">
        <v>7045</v>
      </c>
      <c r="K50" s="0" t="n">
        <v>1400</v>
      </c>
      <c r="L50" s="0" t="n">
        <v>49200</v>
      </c>
      <c r="M50" s="0" t="n">
        <v>20600</v>
      </c>
      <c r="N50" s="0" t="n">
        <v>24645485</v>
      </c>
      <c r="O50" s="0" t="n">
        <v>4871145</v>
      </c>
      <c r="P50" s="0" t="n">
        <v>53293005</v>
      </c>
      <c r="Q50" s="0" t="n">
        <v>10852350</v>
      </c>
      <c r="R50" s="0" t="n">
        <v>3376205</v>
      </c>
      <c r="S50" s="0" t="n">
        <v>1434465</v>
      </c>
      <c r="T50" s="0" t="n">
        <v>2477405</v>
      </c>
      <c r="U50" s="0" t="n">
        <v>903615</v>
      </c>
      <c r="W50" s="0" t="n">
        <f aca="false">C50/B50</f>
        <v>0.362740497419052</v>
      </c>
      <c r="X50" s="0" t="n">
        <f aca="false">S50/R50</f>
        <v>0.424874970566065</v>
      </c>
      <c r="Y50" s="2" t="n">
        <f aca="false">IF(W50&gt;X50,TRUE())</f>
        <v>0</v>
      </c>
      <c r="AA50" s="2" t="n">
        <f aca="false">G50/(G50+K50)</f>
        <v>0.715736040609137</v>
      </c>
      <c r="AB50" s="0" t="n">
        <f aca="false">U50/(U50+O50/10)</f>
        <v>0.649741736261437</v>
      </c>
      <c r="AC50" s="2" t="n">
        <f aca="false">IF(AA50&lt;AB50,TRUE())</f>
        <v>0</v>
      </c>
      <c r="AE50" s="0" t="n">
        <f aca="false">G50/F50</f>
        <v>0.322064869803563</v>
      </c>
      <c r="AF50" s="0" t="n">
        <f aca="false">U50/T50</f>
        <v>0.364742543104579</v>
      </c>
      <c r="AG50" s="2" t="n">
        <f aca="false">IF(AE50&lt;AF50,TRUE())</f>
        <v>1</v>
      </c>
      <c r="AI50" s="0" t="n">
        <f aca="false">K50/J50</f>
        <v>0.198722498225692</v>
      </c>
      <c r="AJ50" s="0" t="n">
        <f aca="false">Q50/P50</f>
        <v>0.203635542788402</v>
      </c>
      <c r="AK50" s="2" t="n">
        <f aca="false">IF(AI50&gt;AJ50,TRUE())</f>
        <v>0</v>
      </c>
    </row>
    <row r="51" customFormat="false" ht="12.8" hidden="false" customHeight="false" outlineLevel="0" collapsed="false">
      <c r="A51" s="0" t="n">
        <v>664</v>
      </c>
      <c r="B51" s="0" t="n">
        <v>29680</v>
      </c>
      <c r="C51" s="0" t="n">
        <v>8660</v>
      </c>
      <c r="D51" s="0" t="n">
        <v>42300</v>
      </c>
      <c r="E51" s="0" t="n">
        <v>17700</v>
      </c>
      <c r="F51" s="0" t="n">
        <v>37550</v>
      </c>
      <c r="G51" s="0" t="n">
        <v>10445</v>
      </c>
      <c r="H51" s="0" t="n">
        <v>44000</v>
      </c>
      <c r="I51" s="0" t="n">
        <v>18200</v>
      </c>
      <c r="J51" s="0" t="n">
        <v>9820</v>
      </c>
      <c r="K51" s="0" t="n">
        <v>1910</v>
      </c>
      <c r="L51" s="0" t="n">
        <v>55600</v>
      </c>
      <c r="M51" s="0" t="n">
        <v>19900</v>
      </c>
      <c r="N51" s="0" t="n">
        <v>24645485</v>
      </c>
      <c r="O51" s="0" t="n">
        <v>4871145</v>
      </c>
      <c r="P51" s="0" t="n">
        <v>53293005</v>
      </c>
      <c r="Q51" s="0" t="n">
        <v>10852350</v>
      </c>
      <c r="R51" s="0" t="n">
        <v>3376205</v>
      </c>
      <c r="S51" s="0" t="n">
        <v>1434465</v>
      </c>
      <c r="T51" s="0" t="n">
        <v>2477405</v>
      </c>
      <c r="U51" s="0" t="n">
        <v>903615</v>
      </c>
      <c r="W51" s="0" t="n">
        <f aca="false">C51/B51</f>
        <v>0.29177897574124</v>
      </c>
      <c r="X51" s="0" t="n">
        <f aca="false">S51/R51</f>
        <v>0.424874970566065</v>
      </c>
      <c r="Y51" s="2" t="n">
        <f aca="false">IF(W51&gt;X51,TRUE())</f>
        <v>0</v>
      </c>
      <c r="AA51" s="2" t="n">
        <f aca="false">G51/(G51+K51)</f>
        <v>0.845406717927964</v>
      </c>
      <c r="AB51" s="0" t="n">
        <f aca="false">U51/(U51+O51/10)</f>
        <v>0.649741736261437</v>
      </c>
      <c r="AC51" s="2" t="n">
        <f aca="false">IF(AA51&lt;AB51,TRUE())</f>
        <v>0</v>
      </c>
      <c r="AE51" s="0" t="n">
        <f aca="false">G51/F51</f>
        <v>0.278162450066578</v>
      </c>
      <c r="AF51" s="0" t="n">
        <f aca="false">U51/T51</f>
        <v>0.364742543104579</v>
      </c>
      <c r="AG51" s="2" t="n">
        <f aca="false">IF(AE51&lt;AF51,TRUE())</f>
        <v>1</v>
      </c>
      <c r="AI51" s="0" t="n">
        <f aca="false">K51/J51</f>
        <v>0.194501018329939</v>
      </c>
      <c r="AJ51" s="0" t="n">
        <f aca="false">Q51/P51</f>
        <v>0.203635542788402</v>
      </c>
      <c r="AK51" s="2" t="n">
        <f aca="false">IF(AI51&gt;AJ51,TRUE())</f>
        <v>0</v>
      </c>
    </row>
    <row r="52" customFormat="false" ht="12.8" hidden="false" customHeight="false" outlineLevel="0" collapsed="false">
      <c r="A52" s="0" t="n">
        <v>668</v>
      </c>
      <c r="B52" s="0" t="n">
        <v>18395</v>
      </c>
      <c r="C52" s="0" t="n">
        <v>6160</v>
      </c>
      <c r="D52" s="0" t="n">
        <v>36200</v>
      </c>
      <c r="E52" s="0" t="n">
        <v>15500</v>
      </c>
      <c r="F52" s="0" t="n">
        <v>20855</v>
      </c>
      <c r="G52" s="0" t="n">
        <v>6295</v>
      </c>
      <c r="H52" s="0" t="n">
        <v>35100</v>
      </c>
      <c r="I52" s="0" t="n">
        <v>17500</v>
      </c>
      <c r="J52" s="0" t="n">
        <v>4670</v>
      </c>
      <c r="K52" s="0" t="n">
        <v>1220</v>
      </c>
      <c r="L52" s="0" t="n">
        <v>39000</v>
      </c>
      <c r="M52" s="0" t="n">
        <v>17400</v>
      </c>
      <c r="N52" s="0" t="n">
        <v>24645485</v>
      </c>
      <c r="O52" s="0" t="n">
        <v>4871145</v>
      </c>
      <c r="P52" s="0" t="n">
        <v>53293005</v>
      </c>
      <c r="Q52" s="0" t="n">
        <v>10852350</v>
      </c>
      <c r="R52" s="0" t="n">
        <v>3376205</v>
      </c>
      <c r="S52" s="0" t="n">
        <v>1434465</v>
      </c>
      <c r="T52" s="0" t="n">
        <v>2477405</v>
      </c>
      <c r="U52" s="0" t="n">
        <v>903615</v>
      </c>
      <c r="W52" s="0" t="n">
        <f aca="false">C52/B52</f>
        <v>0.334873606958413</v>
      </c>
      <c r="X52" s="0" t="n">
        <f aca="false">S52/R52</f>
        <v>0.424874970566065</v>
      </c>
      <c r="Y52" s="2" t="n">
        <f aca="false">IF(W52&gt;X52,TRUE())</f>
        <v>0</v>
      </c>
      <c r="AA52" s="2" t="n">
        <f aca="false">G52/(G52+K52)</f>
        <v>0.837658017298736</v>
      </c>
      <c r="AB52" s="0" t="n">
        <f aca="false">U52/(U52+O52/10)</f>
        <v>0.649741736261437</v>
      </c>
      <c r="AC52" s="2" t="n">
        <f aca="false">IF(AA52&lt;AB52,TRUE())</f>
        <v>0</v>
      </c>
      <c r="AE52" s="0" t="n">
        <f aca="false">G52/F52</f>
        <v>0.30184608007672</v>
      </c>
      <c r="AF52" s="0" t="n">
        <f aca="false">U52/T52</f>
        <v>0.364742543104579</v>
      </c>
      <c r="AG52" s="2" t="n">
        <f aca="false">IF(AE52&lt;AF52,TRUE())</f>
        <v>1</v>
      </c>
      <c r="AI52" s="0" t="n">
        <f aca="false">K52/J52</f>
        <v>0.261241970021413</v>
      </c>
      <c r="AJ52" s="0" t="n">
        <f aca="false">Q52/P52</f>
        <v>0.203635542788402</v>
      </c>
      <c r="AK52" s="2" t="n">
        <f aca="false">IF(AI52&gt;AJ52,TRUE())</f>
        <v>1</v>
      </c>
    </row>
    <row r="53" customFormat="false" ht="12.8" hidden="false" customHeight="false" outlineLevel="0" collapsed="false">
      <c r="A53" s="0" t="n">
        <v>673</v>
      </c>
      <c r="B53" s="0" t="n">
        <v>13650</v>
      </c>
      <c r="C53" s="0" t="n">
        <v>5085</v>
      </c>
      <c r="D53" s="0" t="n">
        <v>33400</v>
      </c>
      <c r="E53" s="0" t="n">
        <v>14900</v>
      </c>
      <c r="F53" s="0" t="n">
        <v>14555</v>
      </c>
      <c r="G53" s="0" t="n">
        <v>4790</v>
      </c>
      <c r="H53" s="0" t="n">
        <v>32900</v>
      </c>
      <c r="I53" s="0" t="n">
        <v>16300</v>
      </c>
      <c r="J53" s="0" t="n">
        <v>9950</v>
      </c>
      <c r="K53" s="0" t="n">
        <v>2070</v>
      </c>
      <c r="L53" s="0" t="n">
        <v>49700</v>
      </c>
      <c r="M53" s="0" t="n">
        <v>18200</v>
      </c>
      <c r="N53" s="0" t="n">
        <v>24645485</v>
      </c>
      <c r="O53" s="0" t="n">
        <v>4871145</v>
      </c>
      <c r="P53" s="0" t="n">
        <v>53293005</v>
      </c>
      <c r="Q53" s="0" t="n">
        <v>10852350</v>
      </c>
      <c r="R53" s="0" t="n">
        <v>3376205</v>
      </c>
      <c r="S53" s="0" t="n">
        <v>1434465</v>
      </c>
      <c r="T53" s="0" t="n">
        <v>2477405</v>
      </c>
      <c r="U53" s="0" t="n">
        <v>903615</v>
      </c>
      <c r="W53" s="0" t="n">
        <f aca="false">C53/B53</f>
        <v>0.372527472527473</v>
      </c>
      <c r="X53" s="0" t="n">
        <f aca="false">S53/R53</f>
        <v>0.424874970566065</v>
      </c>
      <c r="Y53" s="2" t="n">
        <f aca="false">IF(W53&gt;X53,TRUE())</f>
        <v>0</v>
      </c>
      <c r="AA53" s="2" t="n">
        <f aca="false">G53/(G53+K53)</f>
        <v>0.698250728862974</v>
      </c>
      <c r="AB53" s="0" t="n">
        <f aca="false">U53/(U53+O53/10)</f>
        <v>0.649741736261437</v>
      </c>
      <c r="AC53" s="2" t="n">
        <f aca="false">IF(AA53&lt;AB53,TRUE())</f>
        <v>0</v>
      </c>
      <c r="AE53" s="0" t="n">
        <f aca="false">G53/F53</f>
        <v>0.329096530401924</v>
      </c>
      <c r="AF53" s="0" t="n">
        <f aca="false">U53/T53</f>
        <v>0.364742543104579</v>
      </c>
      <c r="AG53" s="2" t="n">
        <f aca="false">IF(AE53&lt;AF53,TRUE())</f>
        <v>1</v>
      </c>
      <c r="AI53" s="0" t="n">
        <f aca="false">K53/J53</f>
        <v>0.208040201005025</v>
      </c>
      <c r="AJ53" s="0" t="n">
        <f aca="false">Q53/P53</f>
        <v>0.203635542788402</v>
      </c>
      <c r="AK53" s="2" t="n">
        <f aca="false">IF(AI53&gt;AJ53,TRUE())</f>
        <v>1</v>
      </c>
    </row>
    <row r="54" customFormat="false" ht="12.8" hidden="false" customHeight="false" outlineLevel="0" collapsed="false">
      <c r="A54" s="0" t="n">
        <v>674</v>
      </c>
      <c r="B54" s="0" t="n">
        <v>22885</v>
      </c>
      <c r="C54" s="0" t="n">
        <v>5370</v>
      </c>
      <c r="D54" s="0" t="n">
        <v>53500</v>
      </c>
      <c r="E54" s="0" t="n">
        <v>21400</v>
      </c>
      <c r="F54" s="0" t="n">
        <v>12425</v>
      </c>
      <c r="G54" s="0" t="n">
        <v>3260</v>
      </c>
      <c r="H54" s="0" t="n">
        <v>47000</v>
      </c>
      <c r="I54" s="0" t="n">
        <v>19200</v>
      </c>
      <c r="J54" s="0" t="n">
        <v>4015</v>
      </c>
      <c r="K54" s="0" t="n">
        <v>495</v>
      </c>
      <c r="L54" s="0" t="n">
        <v>73000</v>
      </c>
      <c r="M54" s="0" t="n">
        <v>28500</v>
      </c>
      <c r="N54" s="0" t="n">
        <v>24645485</v>
      </c>
      <c r="O54" s="0" t="n">
        <v>4871145</v>
      </c>
      <c r="P54" s="0" t="n">
        <v>53293005</v>
      </c>
      <c r="Q54" s="0" t="n">
        <v>10852350</v>
      </c>
      <c r="R54" s="0" t="n">
        <v>3376205</v>
      </c>
      <c r="S54" s="0" t="n">
        <v>1434465</v>
      </c>
      <c r="T54" s="0" t="n">
        <v>2477405</v>
      </c>
      <c r="U54" s="0" t="n">
        <v>903615</v>
      </c>
      <c r="W54" s="0" t="n">
        <f aca="false">C54/B54</f>
        <v>0.234651518461875</v>
      </c>
      <c r="X54" s="0" t="n">
        <f aca="false">S54/R54</f>
        <v>0.424874970566065</v>
      </c>
      <c r="Y54" s="2" t="n">
        <f aca="false">IF(W54&gt;X54,TRUE())</f>
        <v>0</v>
      </c>
      <c r="AA54" s="2" t="n">
        <f aca="false">G54/(G54+K54)</f>
        <v>0.868175765645806</v>
      </c>
      <c r="AB54" s="0" t="n">
        <f aca="false">U54/(U54+O54/10)</f>
        <v>0.649741736261437</v>
      </c>
      <c r="AC54" s="2" t="n">
        <f aca="false">IF(AA54&lt;AB54,TRUE())</f>
        <v>0</v>
      </c>
      <c r="AE54" s="0" t="n">
        <f aca="false">G54/F54</f>
        <v>0.262374245472837</v>
      </c>
      <c r="AF54" s="0" t="n">
        <f aca="false">U54/T54</f>
        <v>0.364742543104579</v>
      </c>
      <c r="AG54" s="2" t="n">
        <f aca="false">IF(AE54&lt;AF54,TRUE())</f>
        <v>1</v>
      </c>
      <c r="AI54" s="0" t="n">
        <f aca="false">K54/J54</f>
        <v>0.123287671232877</v>
      </c>
      <c r="AJ54" s="0" t="n">
        <f aca="false">Q54/P54</f>
        <v>0.203635542788402</v>
      </c>
      <c r="AK54" s="2" t="n">
        <f aca="false">IF(AI54&gt;AJ54,TRUE())</f>
        <v>0</v>
      </c>
    </row>
    <row r="55" customFormat="false" ht="12.8" hidden="false" customHeight="false" outlineLevel="0" collapsed="false">
      <c r="A55" s="0" t="n">
        <v>676</v>
      </c>
      <c r="B55" s="0" t="n">
        <v>3320</v>
      </c>
      <c r="C55" s="0" t="n">
        <v>750</v>
      </c>
      <c r="D55" s="0" t="n">
        <v>58700</v>
      </c>
      <c r="E55" s="0" t="n">
        <v>21700</v>
      </c>
      <c r="F55" s="0" t="n">
        <v>2635</v>
      </c>
      <c r="G55" s="0" t="n">
        <v>855</v>
      </c>
      <c r="H55" s="0" t="n">
        <v>39500</v>
      </c>
      <c r="I55" s="0" t="n">
        <v>23500</v>
      </c>
      <c r="J55" s="0" t="n">
        <v>3590</v>
      </c>
      <c r="K55" s="0" t="n">
        <v>540</v>
      </c>
      <c r="L55" s="0" t="n">
        <v>73000</v>
      </c>
      <c r="M55" s="0" t="n">
        <v>35600</v>
      </c>
      <c r="N55" s="0" t="n">
        <v>22965580</v>
      </c>
      <c r="O55" s="0" t="n">
        <v>4723925</v>
      </c>
      <c r="P55" s="0" t="n">
        <v>28421610</v>
      </c>
      <c r="Q55" s="0" t="n">
        <v>5798950</v>
      </c>
      <c r="R55" s="0" t="n">
        <v>2780210</v>
      </c>
      <c r="S55" s="0" t="n">
        <v>1182280</v>
      </c>
      <c r="T55" s="0" t="n">
        <v>2020585</v>
      </c>
      <c r="U55" s="0" t="n">
        <v>741800</v>
      </c>
      <c r="W55" s="0" t="n">
        <f aca="false">C55/B55</f>
        <v>0.225903614457831</v>
      </c>
      <c r="X55" s="0" t="n">
        <f aca="false">S55/R55</f>
        <v>0.42524845245503</v>
      </c>
      <c r="Y55" s="2" t="n">
        <f aca="false">IF(W55&gt;X55,TRUE())</f>
        <v>0</v>
      </c>
      <c r="AA55" s="2" t="n">
        <f aca="false">G55/(G55+K55)</f>
        <v>0.612903225806452</v>
      </c>
      <c r="AB55" s="0" t="n">
        <f aca="false">U55/(U55+O55/10)</f>
        <v>0.610941016354491</v>
      </c>
      <c r="AC55" s="2" t="n">
        <f aca="false">IF(AA55&lt;AB55,TRUE())</f>
        <v>0</v>
      </c>
      <c r="AE55" s="0" t="n">
        <f aca="false">G55/F55</f>
        <v>0.324478178368121</v>
      </c>
      <c r="AF55" s="0" t="n">
        <f aca="false">U55/T55</f>
        <v>0.367121402960034</v>
      </c>
      <c r="AG55" s="2" t="n">
        <f aca="false">IF(AE55&lt;AF55,TRUE())</f>
        <v>1</v>
      </c>
      <c r="AI55" s="0" t="n">
        <f aca="false">K55/J55</f>
        <v>0.15041782729805</v>
      </c>
      <c r="AJ55" s="0" t="n">
        <f aca="false">Q55/P55</f>
        <v>0.20403312831328</v>
      </c>
      <c r="AK55" s="2" t="n">
        <f aca="false">IF(AI55&gt;AJ55,TRUE())</f>
        <v>0</v>
      </c>
    </row>
    <row r="56" customFormat="false" ht="12.8" hidden="false" customHeight="false" outlineLevel="0" collapsed="false">
      <c r="A56" s="0" t="n">
        <v>678</v>
      </c>
      <c r="B56" s="0" t="n">
        <v>12765</v>
      </c>
      <c r="C56" s="0" t="n">
        <v>3735</v>
      </c>
      <c r="D56" s="0" t="n">
        <v>40600</v>
      </c>
      <c r="E56" s="0" t="n">
        <v>17400</v>
      </c>
      <c r="F56" s="0" t="n">
        <v>21455</v>
      </c>
      <c r="G56" s="0" t="n">
        <v>6340</v>
      </c>
      <c r="H56" s="0" t="n">
        <v>41200</v>
      </c>
      <c r="I56" s="0" t="n">
        <v>17600</v>
      </c>
      <c r="J56" s="0" t="n">
        <v>2110</v>
      </c>
      <c r="K56" s="0" t="n">
        <v>585</v>
      </c>
      <c r="L56" s="0" t="n">
        <v>40800</v>
      </c>
      <c r="M56" s="0" t="n">
        <v>15300</v>
      </c>
      <c r="N56" s="0" t="n">
        <v>24645485</v>
      </c>
      <c r="O56" s="0" t="n">
        <v>4871145</v>
      </c>
      <c r="P56" s="0" t="n">
        <v>53293005</v>
      </c>
      <c r="Q56" s="0" t="n">
        <v>10852350</v>
      </c>
      <c r="R56" s="0" t="n">
        <v>3376205</v>
      </c>
      <c r="S56" s="0" t="n">
        <v>1434465</v>
      </c>
      <c r="T56" s="0" t="n">
        <v>2477405</v>
      </c>
      <c r="U56" s="0" t="n">
        <v>903615</v>
      </c>
      <c r="W56" s="0" t="n">
        <f aca="false">C56/B56</f>
        <v>0.292596944770858</v>
      </c>
      <c r="X56" s="0" t="n">
        <f aca="false">S56/R56</f>
        <v>0.424874970566065</v>
      </c>
      <c r="Y56" s="2" t="n">
        <f aca="false">IF(W56&gt;X56,TRUE())</f>
        <v>0</v>
      </c>
      <c r="AA56" s="2" t="n">
        <f aca="false">G56/(G56+K56)</f>
        <v>0.915523465703971</v>
      </c>
      <c r="AB56" s="0" t="n">
        <f aca="false">U56/(U56+O56/10)</f>
        <v>0.649741736261437</v>
      </c>
      <c r="AC56" s="2" t="n">
        <f aca="false">IF(AA56&lt;AB56,TRUE())</f>
        <v>0</v>
      </c>
      <c r="AE56" s="0" t="n">
        <f aca="false">G56/F56</f>
        <v>0.295502213936145</v>
      </c>
      <c r="AF56" s="0" t="n">
        <f aca="false">U56/T56</f>
        <v>0.364742543104579</v>
      </c>
      <c r="AG56" s="2" t="n">
        <f aca="false">IF(AE56&lt;AF56,TRUE())</f>
        <v>1</v>
      </c>
      <c r="AI56" s="0" t="n">
        <f aca="false">K56/J56</f>
        <v>0.277251184834123</v>
      </c>
      <c r="AJ56" s="0" t="n">
        <f aca="false">Q56/P56</f>
        <v>0.203635542788402</v>
      </c>
      <c r="AK56" s="2" t="n">
        <f aca="false">IF(AI56&gt;AJ56,TRUE())</f>
        <v>1</v>
      </c>
    </row>
    <row r="57" customFormat="false" ht="12.8" hidden="false" customHeight="false" outlineLevel="0" collapsed="false">
      <c r="A57" s="0" t="n">
        <v>680</v>
      </c>
      <c r="B57" s="0" t="n">
        <v>9395</v>
      </c>
      <c r="C57" s="0" t="n">
        <v>3395</v>
      </c>
      <c r="D57" s="0" t="n">
        <v>42200</v>
      </c>
      <c r="E57" s="0" t="n">
        <v>16700</v>
      </c>
      <c r="F57" s="0" t="n">
        <v>10530</v>
      </c>
      <c r="G57" s="0" t="n">
        <v>4225</v>
      </c>
      <c r="H57" s="0" t="n">
        <v>34400</v>
      </c>
      <c r="I57" s="0" t="n">
        <v>15900</v>
      </c>
      <c r="J57" s="0" t="n">
        <v>17125</v>
      </c>
      <c r="K57" s="0" t="n">
        <v>5245</v>
      </c>
      <c r="L57" s="0" t="n">
        <v>50800</v>
      </c>
      <c r="M57" s="0" t="n">
        <v>19100</v>
      </c>
      <c r="N57" s="0" t="n">
        <v>22965580</v>
      </c>
      <c r="O57" s="0" t="n">
        <v>4723925</v>
      </c>
      <c r="P57" s="0" t="n">
        <v>28421610</v>
      </c>
      <c r="Q57" s="0" t="n">
        <v>5798950</v>
      </c>
      <c r="R57" s="0" t="n">
        <v>2780210</v>
      </c>
      <c r="S57" s="0" t="n">
        <v>1182280</v>
      </c>
      <c r="T57" s="0" t="n">
        <v>2020585</v>
      </c>
      <c r="U57" s="0" t="n">
        <v>741800</v>
      </c>
      <c r="W57" s="0" t="n">
        <f aca="false">C57/B57</f>
        <v>0.361362426822778</v>
      </c>
      <c r="X57" s="0" t="n">
        <f aca="false">S57/R57</f>
        <v>0.42524845245503</v>
      </c>
      <c r="Y57" s="2" t="n">
        <f aca="false">IF(W57&gt;X57,TRUE())</f>
        <v>0</v>
      </c>
      <c r="AA57" s="2" t="n">
        <f aca="false">G57/(G57+K57)</f>
        <v>0.446145723336853</v>
      </c>
      <c r="AB57" s="0" t="n">
        <f aca="false">U57/(U57+O57/10)</f>
        <v>0.610941016354491</v>
      </c>
      <c r="AC57" s="2" t="n">
        <f aca="false">IF(AA57&lt;AB57,TRUE())</f>
        <v>1</v>
      </c>
      <c r="AE57" s="0" t="n">
        <f aca="false">G57/F57</f>
        <v>0.401234567901235</v>
      </c>
      <c r="AF57" s="0" t="n">
        <f aca="false">U57/T57</f>
        <v>0.367121402960034</v>
      </c>
      <c r="AG57" s="2" t="n">
        <f aca="false">IF(AE57&lt;AF57,TRUE())</f>
        <v>0</v>
      </c>
      <c r="AI57" s="0" t="n">
        <f aca="false">K57/J57</f>
        <v>0.306277372262774</v>
      </c>
      <c r="AJ57" s="0" t="n">
        <f aca="false">Q57/P57</f>
        <v>0.20403312831328</v>
      </c>
      <c r="AK57" s="2" t="n">
        <f aca="false">IF(AI57&gt;AJ57,TRUE())</f>
        <v>1</v>
      </c>
    </row>
    <row r="58" customFormat="false" ht="12.8" hidden="false" customHeight="false" outlineLevel="0" collapsed="false">
      <c r="A58" s="0" t="n">
        <v>682</v>
      </c>
      <c r="B58" s="0" t="n">
        <v>17220</v>
      </c>
      <c r="C58" s="0" t="n">
        <v>8305</v>
      </c>
      <c r="D58" s="0" t="n">
        <v>30300</v>
      </c>
      <c r="E58" s="0" t="n">
        <v>12500</v>
      </c>
      <c r="F58" s="0" t="n">
        <v>13010</v>
      </c>
      <c r="G58" s="0" t="n">
        <v>5915</v>
      </c>
      <c r="H58" s="0" t="n">
        <v>30700</v>
      </c>
      <c r="I58" s="0" t="n">
        <v>14200</v>
      </c>
      <c r="J58" s="0" t="n">
        <v>20960</v>
      </c>
      <c r="K58" s="0" t="n">
        <v>8315</v>
      </c>
      <c r="L58" s="0" t="n">
        <v>36200</v>
      </c>
      <c r="M58" s="0" t="n">
        <v>14400</v>
      </c>
      <c r="N58" s="0" t="n">
        <v>22965580</v>
      </c>
      <c r="O58" s="0" t="n">
        <v>4723925</v>
      </c>
      <c r="P58" s="0" t="n">
        <v>28421610</v>
      </c>
      <c r="Q58" s="0" t="n">
        <v>5798950</v>
      </c>
      <c r="R58" s="0" t="n">
        <v>2780210</v>
      </c>
      <c r="S58" s="0" t="n">
        <v>1182280</v>
      </c>
      <c r="T58" s="0" t="n">
        <v>2020585</v>
      </c>
      <c r="U58" s="0" t="n">
        <v>741800</v>
      </c>
      <c r="W58" s="0" t="n">
        <f aca="false">C58/B58</f>
        <v>0.482288037166086</v>
      </c>
      <c r="X58" s="0" t="n">
        <f aca="false">S58/R58</f>
        <v>0.42524845245503</v>
      </c>
      <c r="Y58" s="2" t="n">
        <f aca="false">IF(W58&gt;X58,TRUE())</f>
        <v>1</v>
      </c>
      <c r="AA58" s="2" t="n">
        <f aca="false">G58/(G58+K58)</f>
        <v>0.415671117357695</v>
      </c>
      <c r="AB58" s="0" t="n">
        <f aca="false">U58/(U58+O58/10)</f>
        <v>0.610941016354491</v>
      </c>
      <c r="AC58" s="2" t="n">
        <f aca="false">IF(AA58&lt;AB58,TRUE())</f>
        <v>1</v>
      </c>
      <c r="AE58" s="0" t="n">
        <f aca="false">G58/F58</f>
        <v>0.454650269023828</v>
      </c>
      <c r="AF58" s="0" t="n">
        <f aca="false">U58/T58</f>
        <v>0.367121402960034</v>
      </c>
      <c r="AG58" s="2" t="n">
        <f aca="false">IF(AE58&lt;AF58,TRUE())</f>
        <v>0</v>
      </c>
      <c r="AI58" s="0" t="n">
        <f aca="false">K58/J58</f>
        <v>0.396708015267176</v>
      </c>
      <c r="AJ58" s="0" t="n">
        <f aca="false">Q58/P58</f>
        <v>0.20403312831328</v>
      </c>
      <c r="AK58" s="2" t="n">
        <f aca="false">IF(AI58&gt;AJ58,TRUE())</f>
        <v>1</v>
      </c>
    </row>
    <row r="59" customFormat="false" ht="12.8" hidden="false" customHeight="false" outlineLevel="0" collapsed="false">
      <c r="A59" s="0" t="n">
        <v>683</v>
      </c>
      <c r="B59" s="0" t="n">
        <v>17305</v>
      </c>
      <c r="C59" s="0" t="n">
        <v>5215</v>
      </c>
      <c r="D59" s="0" t="n">
        <v>39700</v>
      </c>
      <c r="E59" s="0" t="n">
        <v>17400</v>
      </c>
      <c r="F59" s="0" t="n">
        <v>25150</v>
      </c>
      <c r="G59" s="0" t="n">
        <v>7475</v>
      </c>
      <c r="H59" s="0" t="n">
        <v>40800</v>
      </c>
      <c r="I59" s="0" t="n">
        <v>17800</v>
      </c>
      <c r="J59" s="0" t="n">
        <v>4530</v>
      </c>
      <c r="K59" s="0" t="n">
        <v>1130</v>
      </c>
      <c r="L59" s="0" t="n">
        <v>41600</v>
      </c>
      <c r="M59" s="0" t="n">
        <v>17500</v>
      </c>
      <c r="N59" s="0" t="n">
        <v>24645485</v>
      </c>
      <c r="O59" s="0" t="n">
        <v>4871145</v>
      </c>
      <c r="P59" s="0" t="n">
        <v>53293005</v>
      </c>
      <c r="Q59" s="0" t="n">
        <v>10852350</v>
      </c>
      <c r="R59" s="0" t="n">
        <v>3376205</v>
      </c>
      <c r="S59" s="0" t="n">
        <v>1434465</v>
      </c>
      <c r="T59" s="0" t="n">
        <v>2477405</v>
      </c>
      <c r="U59" s="0" t="n">
        <v>903615</v>
      </c>
      <c r="W59" s="0" t="n">
        <f aca="false">C59/B59</f>
        <v>0.301357989020514</v>
      </c>
      <c r="X59" s="0" t="n">
        <f aca="false">S59/R59</f>
        <v>0.424874970566065</v>
      </c>
      <c r="Y59" s="2" t="n">
        <f aca="false">IF(W59&gt;X59,TRUE())</f>
        <v>0</v>
      </c>
      <c r="AA59" s="2" t="n">
        <f aca="false">G59/(G59+K59)</f>
        <v>0.868680999418942</v>
      </c>
      <c r="AB59" s="0" t="n">
        <f aca="false">U59/(U59+O59/10)</f>
        <v>0.649741736261437</v>
      </c>
      <c r="AC59" s="2" t="n">
        <f aca="false">IF(AA59&lt;AB59,TRUE())</f>
        <v>0</v>
      </c>
      <c r="AE59" s="0" t="n">
        <f aca="false">G59/F59</f>
        <v>0.297216699801193</v>
      </c>
      <c r="AF59" s="0" t="n">
        <f aca="false">U59/T59</f>
        <v>0.364742543104579</v>
      </c>
      <c r="AG59" s="2" t="n">
        <f aca="false">IF(AE59&lt;AF59,TRUE())</f>
        <v>1</v>
      </c>
      <c r="AI59" s="0" t="n">
        <f aca="false">K59/J59</f>
        <v>0.249448123620309</v>
      </c>
      <c r="AJ59" s="0" t="n">
        <f aca="false">Q59/P59</f>
        <v>0.203635542788402</v>
      </c>
      <c r="AK59" s="2" t="n">
        <f aca="false">IF(AI59&gt;AJ59,TRUE())</f>
        <v>1</v>
      </c>
    </row>
    <row r="60" customFormat="false" ht="12.8" hidden="false" customHeight="false" outlineLevel="0" collapsed="false">
      <c r="A60" s="0" t="n">
        <v>686</v>
      </c>
      <c r="B60" s="0" t="n">
        <v>4715</v>
      </c>
      <c r="C60" s="0" t="n">
        <v>960</v>
      </c>
      <c r="D60" s="0" t="n">
        <v>42400</v>
      </c>
      <c r="E60" s="0" t="n">
        <v>17600</v>
      </c>
      <c r="F60" s="0" t="n">
        <v>5885</v>
      </c>
      <c r="G60" s="0" t="n">
        <v>705</v>
      </c>
      <c r="H60" s="0" t="n">
        <v>53500</v>
      </c>
      <c r="I60" s="0" t="n">
        <v>21900</v>
      </c>
      <c r="J60" s="0" t="s">
        <v>30</v>
      </c>
      <c r="K60" s="0" t="s">
        <v>30</v>
      </c>
      <c r="L60" s="0" t="s">
        <v>30</v>
      </c>
      <c r="M60" s="0" t="s">
        <v>30</v>
      </c>
      <c r="N60" s="0" t="n">
        <v>23665720</v>
      </c>
      <c r="O60" s="0" t="n">
        <v>3939335</v>
      </c>
      <c r="P60" s="0" t="n">
        <v>68233030</v>
      </c>
      <c r="Q60" s="0" t="n">
        <v>12194630</v>
      </c>
      <c r="R60" s="0" t="n">
        <v>4035980</v>
      </c>
      <c r="S60" s="0" t="n">
        <v>1666070</v>
      </c>
      <c r="T60" s="0" t="n">
        <v>2631125</v>
      </c>
      <c r="U60" s="0" t="n">
        <v>868055</v>
      </c>
      <c r="W60" s="0" t="n">
        <f aca="false">C60/B60</f>
        <v>0.203605514316013</v>
      </c>
      <c r="X60" s="0" t="n">
        <f aca="false">S60/R60</f>
        <v>0.412804325095764</v>
      </c>
      <c r="Y60" s="2" t="n">
        <f aca="false">IF(W60&gt;X60,TRUE())</f>
        <v>0</v>
      </c>
      <c r="AA60" s="2"/>
      <c r="AB60" s="0" t="n">
        <f aca="false">U60/(U60+O60/10)</f>
        <v>0.687846997020971</v>
      </c>
      <c r="AC60" s="2" t="n">
        <f aca="false">IF(AA60&lt;AB60,TRUE())</f>
        <v>1</v>
      </c>
      <c r="AE60" s="0" t="n">
        <f aca="false">G60/F60</f>
        <v>0.119796091758709</v>
      </c>
      <c r="AF60" s="0" t="n">
        <f aca="false">U60/T60</f>
        <v>0.329917810822367</v>
      </c>
      <c r="AG60" s="2" t="n">
        <f aca="false">IF(AE60&lt;AF60,TRUE())</f>
        <v>1</v>
      </c>
      <c r="AI60" s="0" t="e">
        <f aca="false">K60/J60</f>
        <v>#VALUE!</v>
      </c>
      <c r="AJ60" s="0" t="n">
        <f aca="false">Q60/P60</f>
        <v>0.178720335298022</v>
      </c>
      <c r="AK60" s="2" t="e">
        <f aca="false">IF(AI60&gt;AJ60,TRUE())</f>
        <v>#VALUE!</v>
      </c>
    </row>
    <row r="61" customFormat="false" ht="12.8" hidden="false" customHeight="false" outlineLevel="0" collapsed="false">
      <c r="A61" s="0" t="n">
        <v>687</v>
      </c>
      <c r="B61" s="0" t="n">
        <v>3695</v>
      </c>
      <c r="C61" s="0" t="n">
        <v>1415</v>
      </c>
      <c r="D61" s="0" t="n">
        <v>37100</v>
      </c>
      <c r="E61" s="0" t="n">
        <v>16600</v>
      </c>
      <c r="F61" s="0" t="n">
        <v>3970</v>
      </c>
      <c r="G61" s="0" t="n">
        <v>1720</v>
      </c>
      <c r="H61" s="0" t="n">
        <v>34200</v>
      </c>
      <c r="I61" s="0" t="n">
        <v>15300</v>
      </c>
      <c r="J61" s="0" t="n">
        <v>6920</v>
      </c>
      <c r="K61" s="0" t="n">
        <v>2270</v>
      </c>
      <c r="L61" s="0" t="n">
        <v>48800</v>
      </c>
      <c r="M61" s="0" t="n">
        <v>16900</v>
      </c>
      <c r="N61" s="0" t="n">
        <v>22965580</v>
      </c>
      <c r="O61" s="0" t="n">
        <v>4723925</v>
      </c>
      <c r="P61" s="0" t="n">
        <v>28421610</v>
      </c>
      <c r="Q61" s="0" t="n">
        <v>5798950</v>
      </c>
      <c r="R61" s="0" t="n">
        <v>2780210</v>
      </c>
      <c r="S61" s="0" t="n">
        <v>1182280</v>
      </c>
      <c r="T61" s="0" t="n">
        <v>2020585</v>
      </c>
      <c r="U61" s="0" t="n">
        <v>741800</v>
      </c>
      <c r="W61" s="0" t="n">
        <f aca="false">C61/B61</f>
        <v>0.382949932341001</v>
      </c>
      <c r="X61" s="0" t="n">
        <f aca="false">S61/R61</f>
        <v>0.42524845245503</v>
      </c>
      <c r="Y61" s="2" t="n">
        <f aca="false">IF(W61&gt;X61,TRUE())</f>
        <v>0</v>
      </c>
      <c r="AA61" s="2" t="n">
        <f aca="false">G61/(G61+K61)</f>
        <v>0.431077694235589</v>
      </c>
      <c r="AB61" s="0" t="n">
        <f aca="false">U61/(U61+O61/10)</f>
        <v>0.610941016354491</v>
      </c>
      <c r="AC61" s="2" t="n">
        <f aca="false">IF(AA61&lt;AB61,TRUE())</f>
        <v>1</v>
      </c>
      <c r="AE61" s="0" t="n">
        <f aca="false">G61/F61</f>
        <v>0.433249370277078</v>
      </c>
      <c r="AF61" s="0" t="n">
        <f aca="false">U61/T61</f>
        <v>0.367121402960034</v>
      </c>
      <c r="AG61" s="2" t="n">
        <f aca="false">IF(AE61&lt;AF61,TRUE())</f>
        <v>0</v>
      </c>
      <c r="AI61" s="0" t="n">
        <f aca="false">K61/J61</f>
        <v>0.328034682080925</v>
      </c>
      <c r="AJ61" s="0" t="n">
        <f aca="false">Q61/P61</f>
        <v>0.20403312831328</v>
      </c>
      <c r="AK61" s="2" t="n">
        <f aca="false">IF(AI61&gt;AJ61,TRUE())</f>
        <v>1</v>
      </c>
    </row>
    <row r="62" customFormat="false" ht="12.8" hidden="false" customHeight="false" outlineLevel="0" collapsed="false">
      <c r="A62" s="0" t="n">
        <v>689</v>
      </c>
      <c r="B62" s="0" t="n">
        <v>2905</v>
      </c>
      <c r="C62" s="0" t="n">
        <v>815</v>
      </c>
      <c r="D62" s="0" t="n">
        <v>32500</v>
      </c>
      <c r="E62" s="0" t="n">
        <v>13800</v>
      </c>
      <c r="F62" s="0" t="s">
        <v>30</v>
      </c>
      <c r="G62" s="0" t="s">
        <v>30</v>
      </c>
      <c r="H62" s="0" t="s">
        <v>30</v>
      </c>
      <c r="I62" s="0" t="s">
        <v>30</v>
      </c>
      <c r="J62" s="0" t="s">
        <v>30</v>
      </c>
      <c r="K62" s="0" t="s">
        <v>30</v>
      </c>
      <c r="L62" s="0" t="s">
        <v>30</v>
      </c>
      <c r="M62" s="0" t="s">
        <v>30</v>
      </c>
      <c r="N62" s="0" t="n">
        <v>23665720</v>
      </c>
      <c r="O62" s="0" t="n">
        <v>3939335</v>
      </c>
      <c r="P62" s="0" t="n">
        <v>68233030</v>
      </c>
      <c r="Q62" s="0" t="n">
        <v>12194630</v>
      </c>
      <c r="R62" s="0" t="n">
        <v>4035980</v>
      </c>
      <c r="S62" s="0" t="n">
        <v>1666070</v>
      </c>
      <c r="T62" s="0" t="n">
        <v>2631125</v>
      </c>
      <c r="U62" s="0" t="n">
        <v>868055</v>
      </c>
      <c r="W62" s="0" t="n">
        <f aca="false">C62/B62</f>
        <v>0.280550774526678</v>
      </c>
      <c r="X62" s="0" t="n">
        <f aca="false">S62/R62</f>
        <v>0.412804325095764</v>
      </c>
      <c r="Y62" s="2" t="n">
        <f aca="false">IF(W62&gt;X62,TRUE())</f>
        <v>0</v>
      </c>
      <c r="AA62" s="2"/>
      <c r="AB62" s="0" t="n">
        <f aca="false">U62/(U62+O62/10)</f>
        <v>0.687846997020971</v>
      </c>
      <c r="AC62" s="2" t="n">
        <f aca="false">IF(AA62&lt;AB62,TRUE())</f>
        <v>1</v>
      </c>
      <c r="AF62" s="0" t="n">
        <f aca="false">U62/T62</f>
        <v>0.329917810822367</v>
      </c>
      <c r="AG62" s="2" t="n">
        <f aca="false">IF(AE62&lt;AF62,TRUE())</f>
        <v>1</v>
      </c>
      <c r="AI62" s="0" t="e">
        <f aca="false">K62/J62</f>
        <v>#VALUE!</v>
      </c>
      <c r="AJ62" s="0" t="n">
        <f aca="false">Q62/P62</f>
        <v>0.178720335298022</v>
      </c>
      <c r="AK62" s="2" t="e">
        <f aca="false">IF(AI62&gt;AJ62,TRUE())</f>
        <v>#VALUE!</v>
      </c>
    </row>
    <row r="63" customFormat="false" ht="12.8" hidden="false" customHeight="false" outlineLevel="0" collapsed="false">
      <c r="A63" s="0" t="n">
        <v>690</v>
      </c>
      <c r="B63" s="0" t="n">
        <v>8950</v>
      </c>
      <c r="C63" s="0" t="n">
        <v>1725</v>
      </c>
      <c r="D63" s="0" t="n">
        <v>58300</v>
      </c>
      <c r="E63" s="0" t="n">
        <v>24200</v>
      </c>
      <c r="F63" s="0" t="n">
        <v>6430</v>
      </c>
      <c r="G63" s="0" t="n">
        <v>1430</v>
      </c>
      <c r="H63" s="0" t="n">
        <v>48700</v>
      </c>
      <c r="I63" s="0" t="n">
        <v>22200</v>
      </c>
      <c r="J63" s="0" t="s">
        <v>30</v>
      </c>
      <c r="K63" s="0" t="s">
        <v>30</v>
      </c>
      <c r="L63" s="0" t="s">
        <v>30</v>
      </c>
      <c r="M63" s="0" t="s">
        <v>30</v>
      </c>
      <c r="N63" s="0" t="n">
        <v>24645485</v>
      </c>
      <c r="O63" s="0" t="n">
        <v>4871145</v>
      </c>
      <c r="P63" s="0" t="n">
        <v>53293005</v>
      </c>
      <c r="Q63" s="0" t="n">
        <v>10852350</v>
      </c>
      <c r="R63" s="0" t="n">
        <v>3376205</v>
      </c>
      <c r="S63" s="0" t="n">
        <v>1434465</v>
      </c>
      <c r="T63" s="0" t="n">
        <v>2477405</v>
      </c>
      <c r="U63" s="0" t="n">
        <v>903615</v>
      </c>
      <c r="W63" s="0" t="n">
        <f aca="false">C63/B63</f>
        <v>0.192737430167598</v>
      </c>
      <c r="X63" s="0" t="n">
        <f aca="false">S63/R63</f>
        <v>0.424874970566065</v>
      </c>
      <c r="Y63" s="2" t="n">
        <f aca="false">IF(W63&gt;X63,TRUE())</f>
        <v>0</v>
      </c>
      <c r="AA63" s="2"/>
      <c r="AB63" s="0" t="n">
        <f aca="false">U63/(U63+O63/10)</f>
        <v>0.649741736261437</v>
      </c>
      <c r="AC63" s="2" t="n">
        <f aca="false">IF(AA63&lt;AB63,TRUE())</f>
        <v>1</v>
      </c>
      <c r="AE63" s="0" t="n">
        <f aca="false">G63/F63</f>
        <v>0.222395023328149</v>
      </c>
      <c r="AF63" s="0" t="n">
        <f aca="false">U63/T63</f>
        <v>0.364742543104579</v>
      </c>
      <c r="AG63" s="2" t="n">
        <f aca="false">IF(AE63&lt;AF63,TRUE())</f>
        <v>1</v>
      </c>
      <c r="AI63" s="0" t="e">
        <f aca="false">K63/J63</f>
        <v>#VALUE!</v>
      </c>
      <c r="AJ63" s="0" t="n">
        <f aca="false">Q63/P63</f>
        <v>0.203635542788402</v>
      </c>
      <c r="AK63" s="2" t="e">
        <f aca="false">IF(AI63&gt;AJ63,TRUE())</f>
        <v>#VALUE!</v>
      </c>
    </row>
    <row r="64" customFormat="false" ht="12.8" hidden="false" customHeight="false" outlineLevel="0" collapsed="false">
      <c r="A64" s="0" t="n">
        <v>694</v>
      </c>
      <c r="B64" s="0" t="n">
        <v>7630</v>
      </c>
      <c r="C64" s="0" t="n">
        <v>2740</v>
      </c>
      <c r="D64" s="0" t="n">
        <v>42600</v>
      </c>
      <c r="E64" s="0" t="n">
        <v>16800</v>
      </c>
      <c r="F64" s="0" t="n">
        <v>8420</v>
      </c>
      <c r="G64" s="0" t="n">
        <v>3350</v>
      </c>
      <c r="H64" s="0" t="n">
        <v>34800</v>
      </c>
      <c r="I64" s="0" t="n">
        <v>16200</v>
      </c>
      <c r="J64" s="0" t="n">
        <v>13280</v>
      </c>
      <c r="K64" s="0" t="n">
        <v>3895</v>
      </c>
      <c r="L64" s="0" t="n">
        <v>52000</v>
      </c>
      <c r="M64" s="0" t="n">
        <v>20200</v>
      </c>
      <c r="N64" s="0" t="n">
        <v>22965580</v>
      </c>
      <c r="O64" s="0" t="n">
        <v>4723925</v>
      </c>
      <c r="P64" s="0" t="n">
        <v>28421610</v>
      </c>
      <c r="Q64" s="0" t="n">
        <v>5798950</v>
      </c>
      <c r="R64" s="0" t="n">
        <v>2780210</v>
      </c>
      <c r="S64" s="0" t="n">
        <v>1182280</v>
      </c>
      <c r="T64" s="0" t="n">
        <v>2020585</v>
      </c>
      <c r="U64" s="0" t="n">
        <v>741800</v>
      </c>
      <c r="W64" s="0" t="n">
        <f aca="false">C64/B64</f>
        <v>0.35910878112713</v>
      </c>
      <c r="X64" s="0" t="n">
        <f aca="false">S64/R64</f>
        <v>0.42524845245503</v>
      </c>
      <c r="Y64" s="2" t="n">
        <f aca="false">IF(W64&gt;X64,TRUE())</f>
        <v>0</v>
      </c>
      <c r="AA64" s="2" t="n">
        <f aca="false">G64/(G64+K64)</f>
        <v>0.462387853692202</v>
      </c>
      <c r="AB64" s="0" t="n">
        <f aca="false">U64/(U64+O64/10)</f>
        <v>0.610941016354491</v>
      </c>
      <c r="AC64" s="2" t="n">
        <f aca="false">IF(AA64&lt;AB64,TRUE())</f>
        <v>1</v>
      </c>
      <c r="AE64" s="0" t="n">
        <f aca="false">G64/F64</f>
        <v>0.397862232779097</v>
      </c>
      <c r="AF64" s="0" t="n">
        <f aca="false">U64/T64</f>
        <v>0.367121402960034</v>
      </c>
      <c r="AG64" s="2" t="n">
        <f aca="false">IF(AE64&lt;AF64,TRUE())</f>
        <v>0</v>
      </c>
      <c r="AI64" s="0" t="n">
        <f aca="false">K64/J64</f>
        <v>0.293298192771084</v>
      </c>
      <c r="AJ64" s="0" t="n">
        <f aca="false">Q64/P64</f>
        <v>0.20403312831328</v>
      </c>
      <c r="AK64" s="2" t="n">
        <f aca="false">IF(AI64&gt;AJ64,TRUE())</f>
        <v>1</v>
      </c>
    </row>
    <row r="65" customFormat="false" ht="12.8" hidden="false" customHeight="false" outlineLevel="0" collapsed="false">
      <c r="A65" s="0" t="n">
        <v>695</v>
      </c>
      <c r="B65" s="0" t="n">
        <v>42475</v>
      </c>
      <c r="C65" s="0" t="n">
        <v>10430</v>
      </c>
      <c r="D65" s="0" t="n">
        <v>47100</v>
      </c>
      <c r="E65" s="0" t="n">
        <v>20400</v>
      </c>
      <c r="F65" s="0" t="n">
        <v>53415</v>
      </c>
      <c r="G65" s="0" t="n">
        <v>13195</v>
      </c>
      <c r="H65" s="0" t="n">
        <v>38600</v>
      </c>
      <c r="I65" s="0" t="n">
        <v>24500</v>
      </c>
      <c r="J65" s="0" t="n">
        <v>12920</v>
      </c>
      <c r="K65" s="0" t="n">
        <v>2810</v>
      </c>
      <c r="L65" s="0" t="n">
        <v>45200</v>
      </c>
      <c r="M65" s="0" t="n">
        <v>27400</v>
      </c>
      <c r="N65" s="0" t="n">
        <v>24645485</v>
      </c>
      <c r="O65" s="0" t="n">
        <v>4871145</v>
      </c>
      <c r="P65" s="0" t="n">
        <v>53293005</v>
      </c>
      <c r="Q65" s="0" t="n">
        <v>10852350</v>
      </c>
      <c r="R65" s="0" t="n">
        <v>3376205</v>
      </c>
      <c r="S65" s="0" t="n">
        <v>1434465</v>
      </c>
      <c r="T65" s="0" t="n">
        <v>2477405</v>
      </c>
      <c r="U65" s="0" t="n">
        <v>903615</v>
      </c>
      <c r="W65" s="0" t="n">
        <f aca="false">C65/B65</f>
        <v>0.245556209535021</v>
      </c>
      <c r="X65" s="0" t="n">
        <f aca="false">S65/R65</f>
        <v>0.424874970566065</v>
      </c>
      <c r="Y65" s="2" t="n">
        <f aca="false">IF(W65&gt;X65,TRUE())</f>
        <v>0</v>
      </c>
      <c r="AA65" s="2" t="n">
        <f aca="false">G65/(G65+K65)</f>
        <v>0.824429865666979</v>
      </c>
      <c r="AB65" s="0" t="n">
        <f aca="false">U65/(U65+O65/10)</f>
        <v>0.649741736261437</v>
      </c>
      <c r="AC65" s="2" t="n">
        <f aca="false">IF(AA65&lt;AB65,TRUE())</f>
        <v>0</v>
      </c>
      <c r="AE65" s="0" t="n">
        <f aca="false">G65/F65</f>
        <v>0.247027988392774</v>
      </c>
      <c r="AF65" s="0" t="n">
        <f aca="false">U65/T65</f>
        <v>0.364742543104579</v>
      </c>
      <c r="AG65" s="2" t="n">
        <f aca="false">IF(AE65&lt;AF65,TRUE())</f>
        <v>1</v>
      </c>
      <c r="AI65" s="0" t="n">
        <f aca="false">K65/J65</f>
        <v>0.217492260061919</v>
      </c>
      <c r="AJ65" s="0" t="n">
        <f aca="false">Q65/P65</f>
        <v>0.203635542788402</v>
      </c>
      <c r="AK65" s="2" t="n">
        <f aca="false">IF(AI65&gt;AJ65,TRUE())</f>
        <v>1</v>
      </c>
    </row>
    <row r="66" customFormat="false" ht="12.8" hidden="false" customHeight="false" outlineLevel="0" collapsed="false">
      <c r="A66" s="0" t="n">
        <v>696</v>
      </c>
      <c r="B66" s="0" t="n">
        <v>65600</v>
      </c>
      <c r="C66" s="0" t="n">
        <v>17045</v>
      </c>
      <c r="D66" s="0" t="n">
        <v>58600</v>
      </c>
      <c r="E66" s="0" t="n">
        <v>24500</v>
      </c>
      <c r="F66" s="0" t="n">
        <v>55705</v>
      </c>
      <c r="G66" s="0" t="n">
        <v>15420</v>
      </c>
      <c r="H66" s="0" t="n">
        <v>49700</v>
      </c>
      <c r="I66" s="0" t="n">
        <v>29800</v>
      </c>
      <c r="J66" s="0" t="n">
        <v>21070</v>
      </c>
      <c r="K66" s="0" t="n">
        <v>4640</v>
      </c>
      <c r="L66" s="0" t="n">
        <v>56800</v>
      </c>
      <c r="M66" s="0" t="n">
        <v>34000</v>
      </c>
      <c r="N66" s="0" t="n">
        <v>22965580</v>
      </c>
      <c r="O66" s="0" t="n">
        <v>4723925</v>
      </c>
      <c r="P66" s="0" t="n">
        <v>28421610</v>
      </c>
      <c r="Q66" s="0" t="n">
        <v>5798950</v>
      </c>
      <c r="R66" s="0" t="n">
        <v>2780210</v>
      </c>
      <c r="S66" s="0" t="n">
        <v>1182280</v>
      </c>
      <c r="T66" s="0" t="n">
        <v>2020585</v>
      </c>
      <c r="U66" s="0" t="n">
        <v>741800</v>
      </c>
      <c r="W66" s="0" t="n">
        <f aca="false">C66/B66</f>
        <v>0.259832317073171</v>
      </c>
      <c r="X66" s="0" t="n">
        <f aca="false">S66/R66</f>
        <v>0.42524845245503</v>
      </c>
      <c r="Y66" s="2" t="n">
        <f aca="false">IF(W66&gt;X66,TRUE())</f>
        <v>0</v>
      </c>
      <c r="AA66" s="2" t="n">
        <f aca="false">G66/(G66+K66)</f>
        <v>0.768693918245264</v>
      </c>
      <c r="AB66" s="0" t="n">
        <f aca="false">U66/(U66+O66/10)</f>
        <v>0.610941016354491</v>
      </c>
      <c r="AC66" s="2" t="n">
        <f aca="false">IF(AA66&lt;AB66,TRUE())</f>
        <v>0</v>
      </c>
      <c r="AE66" s="0" t="n">
        <f aca="false">G66/F66</f>
        <v>0.276815366663675</v>
      </c>
      <c r="AF66" s="0" t="n">
        <f aca="false">U66/T66</f>
        <v>0.367121402960034</v>
      </c>
      <c r="AG66" s="2" t="n">
        <f aca="false">IF(AE66&lt;AF66,TRUE())</f>
        <v>1</v>
      </c>
      <c r="AI66" s="0" t="n">
        <f aca="false">K66/J66</f>
        <v>0.220218319886094</v>
      </c>
      <c r="AJ66" s="0" t="n">
        <f aca="false">Q66/P66</f>
        <v>0.20403312831328</v>
      </c>
      <c r="AK66" s="2" t="n">
        <f aca="false">IF(AI66&gt;AJ66,TRUE())</f>
        <v>1</v>
      </c>
    </row>
    <row r="67" customFormat="false" ht="12.8" hidden="false" customHeight="false" outlineLevel="0" collapsed="false">
      <c r="A67" s="0" t="n">
        <v>698</v>
      </c>
      <c r="B67" s="0" t="n">
        <v>4780</v>
      </c>
      <c r="C67" s="0" t="n">
        <v>985</v>
      </c>
      <c r="D67" s="0" t="n">
        <v>42500</v>
      </c>
      <c r="E67" s="0" t="n">
        <v>17400</v>
      </c>
      <c r="F67" s="0" t="n">
        <v>5935</v>
      </c>
      <c r="G67" s="0" t="n">
        <v>720</v>
      </c>
      <c r="H67" s="0" t="n">
        <v>52900</v>
      </c>
      <c r="I67" s="0" t="n">
        <v>21800</v>
      </c>
      <c r="J67" s="0" t="s">
        <v>30</v>
      </c>
      <c r="K67" s="0" t="s">
        <v>30</v>
      </c>
      <c r="L67" s="0" t="s">
        <v>30</v>
      </c>
      <c r="M67" s="0" t="s">
        <v>30</v>
      </c>
      <c r="N67" s="0" t="n">
        <v>23665720</v>
      </c>
      <c r="O67" s="0" t="n">
        <v>3939335</v>
      </c>
      <c r="P67" s="0" t="n">
        <v>68233030</v>
      </c>
      <c r="Q67" s="0" t="n">
        <v>12194630</v>
      </c>
      <c r="R67" s="0" t="n">
        <v>4035980</v>
      </c>
      <c r="S67" s="0" t="n">
        <v>1666070</v>
      </c>
      <c r="T67" s="0" t="n">
        <v>2631125</v>
      </c>
      <c r="U67" s="0" t="n">
        <v>868055</v>
      </c>
      <c r="W67" s="0" t="n">
        <f aca="false">C67/B67</f>
        <v>0.206066945606695</v>
      </c>
      <c r="X67" s="0" t="n">
        <f aca="false">S67/R67</f>
        <v>0.412804325095764</v>
      </c>
      <c r="Y67" s="2" t="n">
        <f aca="false">IF(W67&gt;X67,TRUE())</f>
        <v>0</v>
      </c>
      <c r="AA67" s="2"/>
      <c r="AB67" s="0" t="n">
        <f aca="false">U67/(U67+O67/10)</f>
        <v>0.687846997020971</v>
      </c>
      <c r="AC67" s="2" t="n">
        <f aca="false">IF(AA67&lt;AB67,TRUE())</f>
        <v>1</v>
      </c>
      <c r="AE67" s="0" t="n">
        <f aca="false">G67/F67</f>
        <v>0.121314237573715</v>
      </c>
      <c r="AF67" s="0" t="n">
        <f aca="false">U67/T67</f>
        <v>0.329917810822367</v>
      </c>
      <c r="AG67" s="2" t="n">
        <f aca="false">IF(AE67&lt;AF67,TRUE())</f>
        <v>1</v>
      </c>
      <c r="AI67" s="0" t="e">
        <f aca="false">K67/J67</f>
        <v>#VALUE!</v>
      </c>
      <c r="AJ67" s="0" t="n">
        <f aca="false">Q67/P67</f>
        <v>0.178720335298022</v>
      </c>
      <c r="AK67" s="2" t="e">
        <f aca="false">IF(AI67&gt;AJ67,TRUE())</f>
        <v>#VALUE!</v>
      </c>
    </row>
    <row r="68" customFormat="false" ht="12.8" hidden="false" customHeight="false" outlineLevel="0" collapsed="false">
      <c r="A68" s="0" t="n">
        <v>699</v>
      </c>
      <c r="B68" s="0" t="n">
        <v>9430</v>
      </c>
      <c r="C68" s="0" t="n">
        <v>2175</v>
      </c>
      <c r="D68" s="0" t="n">
        <v>37700</v>
      </c>
      <c r="E68" s="0" t="n">
        <v>17400</v>
      </c>
      <c r="F68" s="0" t="n">
        <v>7215</v>
      </c>
      <c r="G68" s="0" t="n">
        <v>1700</v>
      </c>
      <c r="H68" s="0" t="n">
        <v>35800</v>
      </c>
      <c r="I68" s="0" t="n">
        <v>17900</v>
      </c>
      <c r="J68" s="0" t="n">
        <v>6015</v>
      </c>
      <c r="K68" s="0" t="n">
        <v>860</v>
      </c>
      <c r="L68" s="0" t="n">
        <v>48500</v>
      </c>
      <c r="M68" s="0" t="n">
        <v>20100</v>
      </c>
      <c r="N68" s="0" t="n">
        <v>23665720</v>
      </c>
      <c r="O68" s="0" t="n">
        <v>3939335</v>
      </c>
      <c r="P68" s="0" t="n">
        <v>68233030</v>
      </c>
      <c r="Q68" s="0" t="n">
        <v>12194630</v>
      </c>
      <c r="R68" s="0" t="n">
        <v>4035980</v>
      </c>
      <c r="S68" s="0" t="n">
        <v>1666070</v>
      </c>
      <c r="T68" s="0" t="n">
        <v>2631125</v>
      </c>
      <c r="U68" s="0" t="n">
        <v>868055</v>
      </c>
      <c r="W68" s="0" t="n">
        <f aca="false">C68/B68</f>
        <v>0.230646871686108</v>
      </c>
      <c r="X68" s="0" t="n">
        <f aca="false">S68/R68</f>
        <v>0.412804325095764</v>
      </c>
      <c r="Y68" s="2" t="n">
        <f aca="false">IF(W68&gt;X68,TRUE())</f>
        <v>0</v>
      </c>
      <c r="AA68" s="2" t="n">
        <f aca="false">G68/(G68+K68)</f>
        <v>0.6640625</v>
      </c>
      <c r="AB68" s="0" t="n">
        <f aca="false">U68/(U68+O68/10)</f>
        <v>0.687846997020971</v>
      </c>
      <c r="AC68" s="2" t="n">
        <f aca="false">IF(AA68&lt;AB68,TRUE())</f>
        <v>1</v>
      </c>
      <c r="AE68" s="0" t="n">
        <f aca="false">G68/F68</f>
        <v>0.235620235620236</v>
      </c>
      <c r="AF68" s="0" t="n">
        <f aca="false">U68/T68</f>
        <v>0.329917810822367</v>
      </c>
      <c r="AG68" s="2" t="n">
        <f aca="false">IF(AE68&lt;AF68,TRUE())</f>
        <v>1</v>
      </c>
      <c r="AI68" s="0" t="n">
        <f aca="false">K68/J68</f>
        <v>0.142975893599335</v>
      </c>
      <c r="AJ68" s="0" t="n">
        <f aca="false">Q68/P68</f>
        <v>0.178720335298022</v>
      </c>
      <c r="AK68" s="2" t="n">
        <f aca="false">IF(AI68&gt;AJ68,TRUE())</f>
        <v>0</v>
      </c>
    </row>
    <row r="69" customFormat="false" ht="12.8" hidden="false" customHeight="false" outlineLevel="0" collapsed="false">
      <c r="A69" s="0" t="n">
        <v>700</v>
      </c>
      <c r="B69" s="0" t="n">
        <v>6500</v>
      </c>
      <c r="C69" s="0" t="n">
        <v>1355</v>
      </c>
      <c r="D69" s="0" t="n">
        <v>37000</v>
      </c>
      <c r="E69" s="0" t="n">
        <v>17900</v>
      </c>
      <c r="F69" s="0" t="n">
        <v>7350</v>
      </c>
      <c r="G69" s="0" t="n">
        <v>1675</v>
      </c>
      <c r="H69" s="0" t="n">
        <v>35600</v>
      </c>
      <c r="I69" s="0" t="n">
        <v>16900</v>
      </c>
      <c r="J69" s="0" t="n">
        <v>5550</v>
      </c>
      <c r="K69" s="0" t="n">
        <v>945</v>
      </c>
      <c r="L69" s="0" t="n">
        <v>42400</v>
      </c>
      <c r="M69" s="0" t="n">
        <v>18900</v>
      </c>
      <c r="N69" s="0" t="n">
        <v>23665720</v>
      </c>
      <c r="O69" s="0" t="n">
        <v>3939335</v>
      </c>
      <c r="P69" s="0" t="n">
        <v>68233030</v>
      </c>
      <c r="Q69" s="0" t="n">
        <v>12194630</v>
      </c>
      <c r="R69" s="0" t="n">
        <v>4035980</v>
      </c>
      <c r="S69" s="0" t="n">
        <v>1666070</v>
      </c>
      <c r="T69" s="0" t="n">
        <v>2631125</v>
      </c>
      <c r="U69" s="0" t="n">
        <v>868055</v>
      </c>
      <c r="W69" s="0" t="n">
        <f aca="false">C69/B69</f>
        <v>0.208461538461538</v>
      </c>
      <c r="X69" s="0" t="n">
        <f aca="false">S69/R69</f>
        <v>0.412804325095764</v>
      </c>
      <c r="Y69" s="2" t="n">
        <f aca="false">IF(W69&gt;X69,TRUE())</f>
        <v>0</v>
      </c>
      <c r="AA69" s="2" t="n">
        <f aca="false">G69/(G69+K69)</f>
        <v>0.639312977099237</v>
      </c>
      <c r="AB69" s="0" t="n">
        <f aca="false">U69/(U69+O69/10)</f>
        <v>0.687846997020971</v>
      </c>
      <c r="AC69" s="2" t="n">
        <f aca="false">IF(AA69&lt;AB69,TRUE())</f>
        <v>1</v>
      </c>
      <c r="AE69" s="0" t="n">
        <f aca="false">G69/F69</f>
        <v>0.227891156462585</v>
      </c>
      <c r="AF69" s="0" t="n">
        <f aca="false">U69/T69</f>
        <v>0.329917810822367</v>
      </c>
      <c r="AG69" s="2" t="n">
        <f aca="false">IF(AE69&lt;AF69,TRUE())</f>
        <v>1</v>
      </c>
      <c r="AI69" s="0" t="n">
        <f aca="false">K69/J69</f>
        <v>0.17027027027027</v>
      </c>
      <c r="AJ69" s="0" t="n">
        <f aca="false">Q69/P69</f>
        <v>0.178720335298022</v>
      </c>
      <c r="AK69" s="2" t="n">
        <f aca="false">IF(AI69&gt;AJ69,TRUE())</f>
        <v>0</v>
      </c>
    </row>
    <row r="70" customFormat="false" ht="12.8" hidden="false" customHeight="false" outlineLevel="0" collapsed="false">
      <c r="A70" s="0" t="n">
        <v>702</v>
      </c>
      <c r="B70" s="0" t="n">
        <v>17880</v>
      </c>
      <c r="C70" s="0" t="n">
        <v>6835</v>
      </c>
      <c r="D70" s="0" t="n">
        <v>30500</v>
      </c>
      <c r="E70" s="0" t="n">
        <v>13700</v>
      </c>
      <c r="F70" s="0" t="n">
        <v>19005</v>
      </c>
      <c r="G70" s="0" t="n">
        <v>7130</v>
      </c>
      <c r="H70" s="0" t="n">
        <v>28900</v>
      </c>
      <c r="I70" s="0" t="n">
        <v>15000</v>
      </c>
      <c r="J70" s="0" t="n">
        <v>8470</v>
      </c>
      <c r="K70" s="0" t="n">
        <v>2160</v>
      </c>
      <c r="L70" s="0" t="n">
        <v>39000</v>
      </c>
      <c r="M70" s="0" t="n">
        <v>15900</v>
      </c>
      <c r="N70" s="0" t="n">
        <v>24645485</v>
      </c>
      <c r="O70" s="0" t="n">
        <v>4871145</v>
      </c>
      <c r="P70" s="0" t="n">
        <v>53293005</v>
      </c>
      <c r="Q70" s="0" t="n">
        <v>10852350</v>
      </c>
      <c r="R70" s="0" t="n">
        <v>3376205</v>
      </c>
      <c r="S70" s="0" t="n">
        <v>1434465</v>
      </c>
      <c r="T70" s="0" t="n">
        <v>2477405</v>
      </c>
      <c r="U70" s="0" t="n">
        <v>903615</v>
      </c>
      <c r="W70" s="0" t="n">
        <f aca="false">C70/B70</f>
        <v>0.382270693512304</v>
      </c>
      <c r="X70" s="0" t="n">
        <f aca="false">S70/R70</f>
        <v>0.424874970566065</v>
      </c>
      <c r="Y70" s="2" t="n">
        <f aca="false">IF(W70&gt;X70,TRUE())</f>
        <v>0</v>
      </c>
      <c r="AA70" s="2" t="n">
        <f aca="false">G70/(G70+K70)</f>
        <v>0.767491926803014</v>
      </c>
      <c r="AB70" s="0" t="n">
        <f aca="false">U70/(U70+O70/10)</f>
        <v>0.649741736261437</v>
      </c>
      <c r="AC70" s="2" t="n">
        <f aca="false">IF(AA70&lt;AB70,TRUE())</f>
        <v>0</v>
      </c>
      <c r="AE70" s="0" t="n">
        <f aca="false">G70/F70</f>
        <v>0.375164430413049</v>
      </c>
      <c r="AF70" s="0" t="n">
        <f aca="false">U70/T70</f>
        <v>0.364742543104579</v>
      </c>
      <c r="AG70" s="2" t="n">
        <f aca="false">IF(AE70&lt;AF70,TRUE())</f>
        <v>0</v>
      </c>
      <c r="AI70" s="0" t="n">
        <f aca="false">K70/J70</f>
        <v>0.255017709563164</v>
      </c>
      <c r="AJ70" s="0" t="n">
        <f aca="false">Q70/P70</f>
        <v>0.203635542788402</v>
      </c>
      <c r="AK70" s="2" t="n">
        <f aca="false">IF(AI70&gt;AJ70,TRUE())</f>
        <v>1</v>
      </c>
    </row>
    <row r="71" customFormat="false" ht="12.8" hidden="false" customHeight="false" outlineLevel="0" collapsed="false">
      <c r="A71" s="0" t="n">
        <v>703</v>
      </c>
      <c r="B71" s="0" t="n">
        <v>25190</v>
      </c>
      <c r="C71" s="0" t="n">
        <v>11730</v>
      </c>
      <c r="D71" s="0" t="n">
        <v>31100</v>
      </c>
      <c r="E71" s="0" t="n">
        <v>12800</v>
      </c>
      <c r="F71" s="0" t="n">
        <v>21270</v>
      </c>
      <c r="G71" s="0" t="n">
        <v>9340</v>
      </c>
      <c r="H71" s="0" t="n">
        <v>31900</v>
      </c>
      <c r="I71" s="0" t="n">
        <v>14500</v>
      </c>
      <c r="J71" s="0" t="n">
        <v>22420</v>
      </c>
      <c r="K71" s="0" t="n">
        <v>8555</v>
      </c>
      <c r="L71" s="0" t="n">
        <v>37200</v>
      </c>
      <c r="M71" s="0" t="n">
        <v>14700</v>
      </c>
      <c r="N71" s="0" t="n">
        <v>22965580</v>
      </c>
      <c r="O71" s="0" t="n">
        <v>4723925</v>
      </c>
      <c r="P71" s="0" t="n">
        <v>28421610</v>
      </c>
      <c r="Q71" s="0" t="n">
        <v>5798950</v>
      </c>
      <c r="R71" s="0" t="n">
        <v>2780210</v>
      </c>
      <c r="S71" s="0" t="n">
        <v>1182280</v>
      </c>
      <c r="T71" s="0" t="n">
        <v>2020585</v>
      </c>
      <c r="U71" s="0" t="n">
        <v>741800</v>
      </c>
      <c r="W71" s="0" t="n">
        <f aca="false">C71/B71</f>
        <v>0.465660976578007</v>
      </c>
      <c r="X71" s="0" t="n">
        <f aca="false">S71/R71</f>
        <v>0.42524845245503</v>
      </c>
      <c r="Y71" s="2" t="n">
        <f aca="false">IF(W71&gt;X71,TRUE())</f>
        <v>1</v>
      </c>
      <c r="AA71" s="2" t="n">
        <f aca="false">G71/(G71+K71)</f>
        <v>0.521933500977927</v>
      </c>
      <c r="AB71" s="0" t="n">
        <f aca="false">U71/(U71+O71/10)</f>
        <v>0.610941016354491</v>
      </c>
      <c r="AC71" s="2" t="n">
        <f aca="false">IF(AA71&lt;AB71,TRUE())</f>
        <v>1</v>
      </c>
      <c r="AE71" s="0" t="n">
        <f aca="false">G71/F71</f>
        <v>0.43911612599906</v>
      </c>
      <c r="AF71" s="0" t="n">
        <f aca="false">U71/T71</f>
        <v>0.367121402960034</v>
      </c>
      <c r="AG71" s="2" t="n">
        <f aca="false">IF(AE71&lt;AF71,TRUE())</f>
        <v>0</v>
      </c>
      <c r="AI71" s="0" t="n">
        <f aca="false">K71/J71</f>
        <v>0.381578947368421</v>
      </c>
      <c r="AJ71" s="0" t="n">
        <f aca="false">Q71/P71</f>
        <v>0.20403312831328</v>
      </c>
      <c r="AK71" s="2" t="n">
        <f aca="false">IF(AI71&gt;AJ71,TRUE())</f>
        <v>1</v>
      </c>
    </row>
    <row r="72" customFormat="false" ht="12.8" hidden="false" customHeight="false" outlineLevel="0" collapsed="false">
      <c r="A72" s="0" t="n">
        <v>705</v>
      </c>
      <c r="B72" s="0" t="n">
        <v>15925</v>
      </c>
      <c r="C72" s="0" t="n">
        <v>6260</v>
      </c>
      <c r="D72" s="0" t="n">
        <v>31200</v>
      </c>
      <c r="E72" s="0" t="n">
        <v>14100</v>
      </c>
      <c r="F72" s="0" t="n">
        <v>18795</v>
      </c>
      <c r="G72" s="0" t="n">
        <v>6650</v>
      </c>
      <c r="H72" s="0" t="n">
        <v>31500</v>
      </c>
      <c r="I72" s="0" t="n">
        <v>15500</v>
      </c>
      <c r="J72" s="0" t="n">
        <v>10500</v>
      </c>
      <c r="K72" s="0" t="n">
        <v>2530</v>
      </c>
      <c r="L72" s="0" t="n">
        <v>41300</v>
      </c>
      <c r="M72" s="0" t="n">
        <v>16900</v>
      </c>
      <c r="N72" s="0" t="n">
        <v>24645485</v>
      </c>
      <c r="O72" s="0" t="n">
        <v>4871145</v>
      </c>
      <c r="P72" s="0" t="n">
        <v>53293005</v>
      </c>
      <c r="Q72" s="0" t="n">
        <v>10852350</v>
      </c>
      <c r="R72" s="0" t="n">
        <v>3376205</v>
      </c>
      <c r="S72" s="0" t="n">
        <v>1434465</v>
      </c>
      <c r="T72" s="0" t="n">
        <v>2477405</v>
      </c>
      <c r="U72" s="0" t="n">
        <v>903615</v>
      </c>
      <c r="W72" s="0" t="n">
        <f aca="false">C72/B72</f>
        <v>0.39309262166405</v>
      </c>
      <c r="X72" s="0" t="n">
        <f aca="false">S72/R72</f>
        <v>0.424874970566065</v>
      </c>
      <c r="Y72" s="2" t="n">
        <f aca="false">IF(W72&gt;X72,TRUE())</f>
        <v>0</v>
      </c>
      <c r="AA72" s="2" t="n">
        <f aca="false">G72/(G72+K72)</f>
        <v>0.724400871459695</v>
      </c>
      <c r="AB72" s="0" t="n">
        <f aca="false">U72/(U72+O72/10)</f>
        <v>0.649741736261437</v>
      </c>
      <c r="AC72" s="2" t="n">
        <f aca="false">IF(AA72&lt;AB72,TRUE())</f>
        <v>0</v>
      </c>
      <c r="AE72" s="0" t="n">
        <f aca="false">G72/F72</f>
        <v>0.353817504655493</v>
      </c>
      <c r="AF72" s="0" t="n">
        <f aca="false">U72/T72</f>
        <v>0.364742543104579</v>
      </c>
      <c r="AG72" s="2" t="n">
        <f aca="false">IF(AE72&lt;AF72,TRUE())</f>
        <v>1</v>
      </c>
      <c r="AI72" s="0" t="n">
        <f aca="false">K72/J72</f>
        <v>0.240952380952381</v>
      </c>
      <c r="AJ72" s="0" t="n">
        <f aca="false">Q72/P72</f>
        <v>0.203635542788402</v>
      </c>
      <c r="AK72" s="2" t="n">
        <f aca="false">IF(AI72&gt;AJ72,TRUE())</f>
        <v>1</v>
      </c>
    </row>
    <row r="73" customFormat="false" ht="12.8" hidden="false" customHeight="false" outlineLevel="0" collapsed="false">
      <c r="A73" s="0" t="n">
        <v>710</v>
      </c>
      <c r="B73" s="0" t="n">
        <v>5160</v>
      </c>
      <c r="C73" s="0" t="n">
        <v>2020</v>
      </c>
      <c r="D73" s="0" t="n">
        <v>31100</v>
      </c>
      <c r="E73" s="0" t="n">
        <v>14100</v>
      </c>
      <c r="F73" s="0" t="n">
        <v>5310</v>
      </c>
      <c r="G73" s="0" t="n">
        <v>1675</v>
      </c>
      <c r="H73" s="0" t="n">
        <v>31900</v>
      </c>
      <c r="I73" s="0" t="n">
        <v>15600</v>
      </c>
      <c r="J73" s="0" t="n">
        <v>3000</v>
      </c>
      <c r="K73" s="0" t="n">
        <v>645</v>
      </c>
      <c r="L73" s="0" t="n">
        <v>50100</v>
      </c>
      <c r="M73" s="0" t="n">
        <v>17400</v>
      </c>
      <c r="N73" s="0" t="n">
        <v>24645485</v>
      </c>
      <c r="O73" s="0" t="n">
        <v>4871145</v>
      </c>
      <c r="P73" s="0" t="n">
        <v>53293005</v>
      </c>
      <c r="Q73" s="0" t="n">
        <v>10852350</v>
      </c>
      <c r="R73" s="0" t="n">
        <v>3376205</v>
      </c>
      <c r="S73" s="0" t="n">
        <v>1434465</v>
      </c>
      <c r="T73" s="0" t="n">
        <v>2477405</v>
      </c>
      <c r="U73" s="0" t="n">
        <v>903615</v>
      </c>
      <c r="W73" s="0" t="n">
        <f aca="false">C73/B73</f>
        <v>0.391472868217054</v>
      </c>
      <c r="X73" s="0" t="n">
        <f aca="false">S73/R73</f>
        <v>0.424874970566065</v>
      </c>
      <c r="Y73" s="2" t="n">
        <f aca="false">IF(W73&gt;X73,TRUE())</f>
        <v>0</v>
      </c>
      <c r="AA73" s="2" t="n">
        <f aca="false">G73/(G73+K73)</f>
        <v>0.72198275862069</v>
      </c>
      <c r="AB73" s="0" t="n">
        <f aca="false">U73/(U73+O73/10)</f>
        <v>0.649741736261437</v>
      </c>
      <c r="AC73" s="2" t="n">
        <f aca="false">IF(AA73&lt;AB73,TRUE())</f>
        <v>0</v>
      </c>
      <c r="AE73" s="0" t="n">
        <f aca="false">G73/F73</f>
        <v>0.315442561205273</v>
      </c>
      <c r="AF73" s="0" t="n">
        <f aca="false">U73/T73</f>
        <v>0.364742543104579</v>
      </c>
      <c r="AG73" s="2" t="n">
        <f aca="false">IF(AE73&lt;AF73,TRUE())</f>
        <v>1</v>
      </c>
      <c r="AI73" s="0" t="n">
        <f aca="false">K73/J73</f>
        <v>0.215</v>
      </c>
      <c r="AJ73" s="0" t="n">
        <f aca="false">Q73/P73</f>
        <v>0.203635542788402</v>
      </c>
      <c r="AK73" s="2" t="n">
        <f aca="false">IF(AI73&gt;AJ73,TRUE())</f>
        <v>1</v>
      </c>
    </row>
    <row r="74" customFormat="false" ht="12.8" hidden="false" customHeight="false" outlineLevel="0" collapsed="false">
      <c r="A74" s="0" t="n">
        <v>714</v>
      </c>
      <c r="B74" s="0" t="n">
        <v>47905</v>
      </c>
      <c r="C74" s="0" t="n">
        <v>14155</v>
      </c>
      <c r="D74" s="0" t="n">
        <v>52900</v>
      </c>
      <c r="E74" s="0" t="n">
        <v>21700</v>
      </c>
      <c r="F74" s="0" t="n">
        <v>31905</v>
      </c>
      <c r="G74" s="0" t="n">
        <v>9955</v>
      </c>
      <c r="H74" s="0" t="n">
        <v>48000</v>
      </c>
      <c r="I74" s="0" t="n">
        <v>28200</v>
      </c>
      <c r="J74" s="0" t="n">
        <v>25180</v>
      </c>
      <c r="K74" s="0" t="n">
        <v>8910</v>
      </c>
      <c r="L74" s="0" t="n">
        <v>41500</v>
      </c>
      <c r="M74" s="0" t="n">
        <v>23600</v>
      </c>
      <c r="N74" s="0" t="n">
        <v>22965580</v>
      </c>
      <c r="O74" s="0" t="n">
        <v>4723925</v>
      </c>
      <c r="P74" s="0" t="n">
        <v>28421610</v>
      </c>
      <c r="Q74" s="0" t="n">
        <v>5798950</v>
      </c>
      <c r="R74" s="0" t="n">
        <v>2780210</v>
      </c>
      <c r="S74" s="0" t="n">
        <v>1182280</v>
      </c>
      <c r="T74" s="0" t="n">
        <v>2020585</v>
      </c>
      <c r="U74" s="0" t="n">
        <v>741800</v>
      </c>
      <c r="W74" s="0" t="n">
        <f aca="false">C74/B74</f>
        <v>0.295480638764221</v>
      </c>
      <c r="X74" s="0" t="n">
        <f aca="false">S74/R74</f>
        <v>0.42524845245503</v>
      </c>
      <c r="Y74" s="2" t="n">
        <f aca="false">IF(W74&gt;X74,TRUE())</f>
        <v>0</v>
      </c>
      <c r="AA74" s="2" t="n">
        <f aca="false">G74/(G74+K74)</f>
        <v>0.527696793002916</v>
      </c>
      <c r="AB74" s="0" t="n">
        <f aca="false">U74/(U74+O74/10)</f>
        <v>0.610941016354491</v>
      </c>
      <c r="AC74" s="2" t="n">
        <f aca="false">IF(AA74&lt;AB74,TRUE())</f>
        <v>1</v>
      </c>
      <c r="AE74" s="0" t="n">
        <f aca="false">G74/F74</f>
        <v>0.312020059551794</v>
      </c>
      <c r="AF74" s="0" t="n">
        <f aca="false">U74/T74</f>
        <v>0.367121402960034</v>
      </c>
      <c r="AG74" s="2" t="n">
        <f aca="false">IF(AE74&lt;AF74,TRUE())</f>
        <v>1</v>
      </c>
      <c r="AI74" s="0" t="n">
        <f aca="false">K74/J74</f>
        <v>0.35385226370135</v>
      </c>
      <c r="AJ74" s="0" t="n">
        <f aca="false">Q74/P74</f>
        <v>0.20403312831328</v>
      </c>
      <c r="AK74" s="2" t="n">
        <f aca="false">IF(AI74&gt;AJ74,TRUE())</f>
        <v>1</v>
      </c>
    </row>
    <row r="75" customFormat="false" ht="12.8" hidden="false" customHeight="false" outlineLevel="0" collapsed="false">
      <c r="A75" s="0" t="n">
        <v>715</v>
      </c>
      <c r="B75" s="0" t="n">
        <v>29160</v>
      </c>
      <c r="C75" s="0" t="n">
        <v>11830</v>
      </c>
      <c r="D75" s="0" t="n">
        <v>26800</v>
      </c>
      <c r="E75" s="0" t="n">
        <v>13400</v>
      </c>
      <c r="F75" s="0" t="n">
        <v>33550</v>
      </c>
      <c r="G75" s="0" t="n">
        <v>14590</v>
      </c>
      <c r="H75" s="0" t="n">
        <v>22500</v>
      </c>
      <c r="I75" s="0" t="n">
        <v>13800</v>
      </c>
      <c r="J75" s="0" t="n">
        <v>6175</v>
      </c>
      <c r="K75" s="0" t="n">
        <v>2395</v>
      </c>
      <c r="L75" s="0" t="n">
        <v>25700</v>
      </c>
      <c r="M75" s="0" t="n">
        <v>13800</v>
      </c>
      <c r="N75" s="0" t="n">
        <v>24645485</v>
      </c>
      <c r="O75" s="0" t="n">
        <v>4871145</v>
      </c>
      <c r="P75" s="0" t="n">
        <v>53293005</v>
      </c>
      <c r="Q75" s="0" t="n">
        <v>10852350</v>
      </c>
      <c r="R75" s="0" t="n">
        <v>3376205</v>
      </c>
      <c r="S75" s="0" t="n">
        <v>1434465</v>
      </c>
      <c r="T75" s="0" t="n">
        <v>2477405</v>
      </c>
      <c r="U75" s="0" t="n">
        <v>903615</v>
      </c>
      <c r="W75" s="0" t="n">
        <f aca="false">C75/B75</f>
        <v>0.405692729766804</v>
      </c>
      <c r="X75" s="0" t="n">
        <f aca="false">S75/R75</f>
        <v>0.424874970566065</v>
      </c>
      <c r="Y75" s="2" t="n">
        <f aca="false">IF(W75&gt;X75,TRUE())</f>
        <v>0</v>
      </c>
      <c r="AA75" s="2" t="n">
        <f aca="false">G75/(G75+K75)</f>
        <v>0.858993229319988</v>
      </c>
      <c r="AB75" s="0" t="n">
        <f aca="false">U75/(U75+O75/10)</f>
        <v>0.649741736261437</v>
      </c>
      <c r="AC75" s="2" t="n">
        <f aca="false">IF(AA75&lt;AB75,TRUE())</f>
        <v>0</v>
      </c>
      <c r="AE75" s="0" t="n">
        <f aca="false">G75/F75</f>
        <v>0.434873323397914</v>
      </c>
      <c r="AF75" s="0" t="n">
        <f aca="false">U75/T75</f>
        <v>0.364742543104579</v>
      </c>
      <c r="AG75" s="2" t="n">
        <f aca="false">IF(AE75&lt;AF75,TRUE())</f>
        <v>0</v>
      </c>
      <c r="AI75" s="0" t="n">
        <f aca="false">K75/J75</f>
        <v>0.387854251012146</v>
      </c>
      <c r="AJ75" s="0" t="n">
        <f aca="false">Q75/P75</f>
        <v>0.203635542788402</v>
      </c>
      <c r="AK75" s="2" t="n">
        <f aca="false">IF(AI75&gt;AJ75,TRUE())</f>
        <v>1</v>
      </c>
    </row>
    <row r="76" customFormat="false" ht="12.8" hidden="false" customHeight="false" outlineLevel="0" collapsed="false">
      <c r="A76" s="0" t="n">
        <v>716</v>
      </c>
      <c r="B76" s="0" t="n">
        <v>37260</v>
      </c>
      <c r="C76" s="0" t="n">
        <v>11595</v>
      </c>
      <c r="D76" s="0" t="n">
        <v>48800</v>
      </c>
      <c r="E76" s="0" t="n">
        <v>19900</v>
      </c>
      <c r="F76" s="0" t="n">
        <v>20970</v>
      </c>
      <c r="G76" s="0" t="n">
        <v>7500</v>
      </c>
      <c r="H76" s="0" t="n">
        <v>40000</v>
      </c>
      <c r="I76" s="0" t="n">
        <v>24100</v>
      </c>
      <c r="J76" s="0" t="n">
        <v>25280</v>
      </c>
      <c r="K76" s="0" t="n">
        <v>8935</v>
      </c>
      <c r="L76" s="0" t="n">
        <v>41700</v>
      </c>
      <c r="M76" s="0" t="n">
        <v>23800</v>
      </c>
      <c r="N76" s="0" t="n">
        <v>22965580</v>
      </c>
      <c r="O76" s="0" t="n">
        <v>4723925</v>
      </c>
      <c r="P76" s="0" t="n">
        <v>28421610</v>
      </c>
      <c r="Q76" s="0" t="n">
        <v>5798950</v>
      </c>
      <c r="R76" s="0" t="n">
        <v>2780210</v>
      </c>
      <c r="S76" s="0" t="n">
        <v>1182280</v>
      </c>
      <c r="T76" s="0" t="n">
        <v>2020585</v>
      </c>
      <c r="U76" s="0" t="n">
        <v>741800</v>
      </c>
      <c r="W76" s="0" t="n">
        <f aca="false">C76/B76</f>
        <v>0.311191626409018</v>
      </c>
      <c r="X76" s="0" t="n">
        <f aca="false">S76/R76</f>
        <v>0.42524845245503</v>
      </c>
      <c r="Y76" s="2" t="n">
        <f aca="false">IF(W76&gt;X76,TRUE())</f>
        <v>0</v>
      </c>
      <c r="AA76" s="2" t="n">
        <f aca="false">G76/(G76+K76)</f>
        <v>0.456343170063888</v>
      </c>
      <c r="AB76" s="0" t="n">
        <f aca="false">U76/(U76+O76/10)</f>
        <v>0.610941016354491</v>
      </c>
      <c r="AC76" s="2" t="n">
        <f aca="false">IF(AA76&lt;AB76,TRUE())</f>
        <v>1</v>
      </c>
      <c r="AE76" s="0" t="n">
        <f aca="false">G76/F76</f>
        <v>0.357653791130186</v>
      </c>
      <c r="AF76" s="0" t="n">
        <f aca="false">U76/T76</f>
        <v>0.367121402960034</v>
      </c>
      <c r="AG76" s="2" t="n">
        <f aca="false">IF(AE76&lt;AF76,TRUE())</f>
        <v>1</v>
      </c>
      <c r="AI76" s="0" t="n">
        <f aca="false">K76/J76</f>
        <v>0.353441455696203</v>
      </c>
      <c r="AJ76" s="0" t="n">
        <f aca="false">Q76/P76</f>
        <v>0.20403312831328</v>
      </c>
      <c r="AK76" s="2" t="n">
        <f aca="false">IF(AI76&gt;AJ76,TRUE())</f>
        <v>1</v>
      </c>
    </row>
    <row r="77" customFormat="false" ht="12.8" hidden="false" customHeight="false" outlineLevel="0" collapsed="false">
      <c r="A77" s="0" t="n">
        <v>718</v>
      </c>
      <c r="B77" s="0" t="n">
        <v>59880</v>
      </c>
      <c r="C77" s="0" t="n">
        <v>15250</v>
      </c>
      <c r="D77" s="0" t="n">
        <v>60300</v>
      </c>
      <c r="E77" s="0" t="n">
        <v>23600</v>
      </c>
      <c r="F77" s="0" t="n">
        <v>42315</v>
      </c>
      <c r="G77" s="0" t="n">
        <v>11430</v>
      </c>
      <c r="H77" s="0" t="n">
        <v>50900</v>
      </c>
      <c r="I77" s="0" t="n">
        <v>30400</v>
      </c>
      <c r="J77" s="0" t="n">
        <v>38295</v>
      </c>
      <c r="K77" s="0" t="n">
        <v>10585</v>
      </c>
      <c r="L77" s="0" t="n">
        <v>49200</v>
      </c>
      <c r="M77" s="0" t="n">
        <v>30400</v>
      </c>
      <c r="N77" s="0" t="n">
        <v>22965580</v>
      </c>
      <c r="O77" s="0" t="n">
        <v>4723925</v>
      </c>
      <c r="P77" s="0" t="n">
        <v>28421610</v>
      </c>
      <c r="Q77" s="0" t="n">
        <v>5798950</v>
      </c>
      <c r="R77" s="0" t="n">
        <v>2780210</v>
      </c>
      <c r="S77" s="0" t="n">
        <v>1182280</v>
      </c>
      <c r="T77" s="0" t="n">
        <v>2020585</v>
      </c>
      <c r="U77" s="0" t="n">
        <v>741800</v>
      </c>
      <c r="W77" s="0" t="n">
        <f aca="false">C77/B77</f>
        <v>0.254676018704075</v>
      </c>
      <c r="X77" s="0" t="n">
        <f aca="false">S77/R77</f>
        <v>0.42524845245503</v>
      </c>
      <c r="Y77" s="2" t="n">
        <f aca="false">IF(W77&gt;X77,TRUE())</f>
        <v>0</v>
      </c>
      <c r="AA77" s="2" t="n">
        <f aca="false">G77/(G77+K77)</f>
        <v>0.519191460367931</v>
      </c>
      <c r="AB77" s="0" t="n">
        <f aca="false">U77/(U77+O77/10)</f>
        <v>0.610941016354491</v>
      </c>
      <c r="AC77" s="2" t="n">
        <f aca="false">IF(AA77&lt;AB77,TRUE())</f>
        <v>1</v>
      </c>
      <c r="AE77" s="0" t="n">
        <f aca="false">G77/F77</f>
        <v>0.270116979794399</v>
      </c>
      <c r="AF77" s="0" t="n">
        <f aca="false">U77/T77</f>
        <v>0.367121402960034</v>
      </c>
      <c r="AG77" s="2" t="n">
        <f aca="false">IF(AE77&lt;AF77,TRUE())</f>
        <v>1</v>
      </c>
      <c r="AI77" s="0" t="n">
        <f aca="false">K77/J77</f>
        <v>0.276406841624233</v>
      </c>
      <c r="AJ77" s="0" t="n">
        <f aca="false">Q77/P77</f>
        <v>0.20403312831328</v>
      </c>
      <c r="AK77" s="2" t="n">
        <f aca="false">IF(AI77&gt;AJ77,TRUE())</f>
        <v>1</v>
      </c>
    </row>
    <row r="78" customFormat="false" ht="12.8" hidden="false" customHeight="false" outlineLevel="0" collapsed="false">
      <c r="W78" s="3" t="n">
        <f aca="false">AVERAGE(W2:W77)</f>
        <v>0.307918059647007</v>
      </c>
      <c r="X78" s="3" t="n">
        <f aca="false">AVERAGE(X2:X77)</f>
        <v>0.374749792747031</v>
      </c>
      <c r="AA78" s="0" t="n">
        <f aca="false">AVERAGE(AA2:AA77)</f>
        <v>0.662388913885418</v>
      </c>
      <c r="AB78" s="0" t="n">
        <f aca="false">AVERAGE(AB2:AB77)</f>
        <v>0.640840539867306</v>
      </c>
      <c r="AE78" s="3" t="n">
        <f aca="false">AVERAGE(AE2:AE77)</f>
        <v>0.2796956797424</v>
      </c>
      <c r="AF78" s="3" t="n">
        <f aca="false">AVERAGE(AF2:AF77)</f>
        <v>0.311175822011478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2025-10-30T15:43:31Z</dcterms:created>
  <dc:creator>Jeff Allen</dc:creator>
  <dc:description/>
  <dc:language>en-US</dc:language>
  <cp:lastModifiedBy>Jeff Allen</cp:lastModifiedBy>
  <dcterms:modified xsi:type="dcterms:W3CDTF">2025-10-31T10:16:32Z</dcterms:modified>
  <cp:revision>3</cp:revision>
  <dc:subject/>
  <dc:title/>
</cp:coreProperties>
</file>